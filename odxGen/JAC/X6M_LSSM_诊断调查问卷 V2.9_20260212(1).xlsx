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nnections.xml" ContentType="application/vnd.openxmlformats-officedocument.spreadsheetml.connections+xml"/>
  <Override PartName="/xl/ctrlProps/ctrlProp1.xml" ContentType="application/vnd.ms-excel.controlproperties+xml"/>
  <Override PartName="/xl/ctrlProps/ctrlProp2.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updateLinks="never"/>
  <bookViews>
    <workbookView windowWidth="27950" windowHeight="12400" tabRatio="850" firstSheet="4" activeTab="15"/>
  </bookViews>
  <sheets>
    <sheet name="RevisionRecords" sheetId="26" r:id="rId1"/>
    <sheet name="RevisionManagement" sheetId="5" r:id="rId2"/>
    <sheet name="Legend" sheetId="38" r:id="rId3"/>
    <sheet name="DocumentStructure" sheetId="34" r:id="rId4"/>
    <sheet name="00.Cover" sheetId="4" r:id="rId5"/>
    <sheet name="01.General" sheetId="29" r:id="rId6"/>
    <sheet name="02.1.ApplicationServices" sheetId="7" r:id="rId7"/>
    <sheet name="02.2.BootServices " sheetId="36" r:id="rId8"/>
    <sheet name="02.3.CommunicationControlSvcs" sheetId="43" r:id="rId9"/>
    <sheet name="03.1.System DID" sheetId="10" r:id="rId10"/>
    <sheet name="03.2.ECU DID" sheetId="45" r:id="rId11"/>
    <sheet name="03.3.Coding DID" sheetId="31" r:id="rId12"/>
    <sheet name="03.4.IOcontrol DID 0x2F" sheetId="11" r:id="rId13"/>
    <sheet name="System DID_bak" sheetId="13" state="hidden" r:id="rId14"/>
    <sheet name="IOControl (0x2F)" sheetId="15" state="hidden" r:id="rId15"/>
    <sheet name="03.5.Routine DID 0x31" sheetId="12" r:id="rId16"/>
    <sheet name="Routines (0x31)" sheetId="16" state="hidden" r:id="rId17"/>
    <sheet name="04.1.GroupOfDTC" sheetId="32" r:id="rId18"/>
    <sheet name="04.2.DTC list" sheetId="44" r:id="rId19"/>
    <sheet name="04.3.Snapshot" sheetId="46" r:id="rId20"/>
    <sheet name="04.4.ExtendedData" sheetId="33" r:id="rId21"/>
    <sheet name="Terms" sheetId="9" r:id="rId22"/>
    <sheet name="Flash" sheetId="39" r:id="rId23"/>
    <sheet name="Predefined" sheetId="42" r:id="rId24"/>
    <sheet name="DataBlock" sheetId="40" r:id="rId25"/>
    <sheet name="DTC-List" sheetId="17" state="hidden" r:id="rId26"/>
    <sheet name="ECU DID" sheetId="14" state="hidden" r:id="rId27"/>
  </sheets>
  <externalReferences>
    <externalReference r:id="rId29"/>
    <externalReference r:id="rId30"/>
    <externalReference r:id="rId31"/>
  </externalReferences>
  <definedNames>
    <definedName name="_xlnm._FilterDatabase" localSheetId="6" hidden="1">'02.1.ApplicationServices'!$A$6:$P$6</definedName>
    <definedName name="_xlnm._FilterDatabase" localSheetId="7" hidden="1">'02.2.BootServices '!$A$6:$R$7</definedName>
    <definedName name="_xlnm._FilterDatabase" localSheetId="9" hidden="1">'03.1.System DID'!$A$4:$AO$6</definedName>
    <definedName name="_xlnm._FilterDatabase" localSheetId="10" hidden="1">'03.2.ECU DID'!$A$6:$AD$19</definedName>
    <definedName name="_xlnm._FilterDatabase" localSheetId="11" hidden="1">'03.3.Coding DID'!$A$6:$AM$6</definedName>
    <definedName name="_xlnm._FilterDatabase" localSheetId="18" hidden="1">'04.2.DTC list'!$A$5:$AC$5</definedName>
    <definedName name="AUDIO_1" localSheetId="7">[1]Signal_List!#REF!</definedName>
    <definedName name="AUDIO_1" localSheetId="8">[1]Signal_List!#REF!</definedName>
    <definedName name="AUDIO_1" localSheetId="10">[1]Signal_List!#REF!</definedName>
    <definedName name="AUDIO_1" localSheetId="11">[1]Signal_List!#REF!</definedName>
    <definedName name="AUDIO_1" localSheetId="18">[1]Signal_List!#REF!</definedName>
    <definedName name="AUDIO_1">[1]Signal_List!#REF!</definedName>
    <definedName name="AUDIO_2" localSheetId="7">[1]Signal_List!#REF!</definedName>
    <definedName name="AUDIO_2" localSheetId="8">[1]Signal_List!#REF!</definedName>
    <definedName name="AUDIO_2" localSheetId="10">[1]Signal_List!#REF!</definedName>
    <definedName name="AUDIO_2" localSheetId="11">[1]Signal_List!#REF!</definedName>
    <definedName name="AUDIO_2" localSheetId="18">[1]Signal_List!#REF!</definedName>
    <definedName name="AUDIO_2">[1]Signal_List!#REF!</definedName>
    <definedName name="AUDIO_3" localSheetId="7">[1]Signal_List!#REF!</definedName>
    <definedName name="AUDIO_3" localSheetId="8">[1]Signal_List!#REF!</definedName>
    <definedName name="AUDIO_3" localSheetId="10">[1]Signal_List!#REF!</definedName>
    <definedName name="AUDIO_3" localSheetId="11">[1]Signal_List!#REF!</definedName>
    <definedName name="AUDIO_3" localSheetId="18">[1]Signal_List!#REF!</definedName>
    <definedName name="AUDIO_3">[1]Signal_List!#REF!</definedName>
    <definedName name="AUDIO_4" localSheetId="7">[1]Signal_List!#REF!</definedName>
    <definedName name="AUDIO_4" localSheetId="8">[1]Signal_List!#REF!</definedName>
    <definedName name="AUDIO_4" localSheetId="10">[1]Signal_List!#REF!</definedName>
    <definedName name="AUDIO_4" localSheetId="11">[1]Signal_List!#REF!</definedName>
    <definedName name="AUDIO_4" localSheetId="18">[1]Signal_List!#REF!</definedName>
    <definedName name="AUDIO_4">[1]Signal_List!#REF!</definedName>
    <definedName name="AUDIO_6" localSheetId="7">[1]Signal_List!#REF!</definedName>
    <definedName name="AUDIO_6" localSheetId="10">[1]Signal_List!#REF!</definedName>
    <definedName name="AUDIO_6" localSheetId="11">[1]Signal_List!#REF!</definedName>
    <definedName name="AUDIO_6">[1]Signal_List!#REF!</definedName>
    <definedName name="BCM_1" localSheetId="7">[1]Signal_List!#REF!</definedName>
    <definedName name="BCM_1" localSheetId="10">[1]Signal_List!#REF!</definedName>
    <definedName name="BCM_1" localSheetId="11">[1]Signal_List!#REF!</definedName>
    <definedName name="BCM_1">[1]Signal_List!#REF!</definedName>
    <definedName name="BCM_2" localSheetId="7">[1]Signal_List!#REF!</definedName>
    <definedName name="BCM_2" localSheetId="10">[1]Signal_List!#REF!</definedName>
    <definedName name="BCM_2" localSheetId="11">[1]Signal_List!#REF!</definedName>
    <definedName name="BCM_2">[1]Signal_List!#REF!</definedName>
    <definedName name="BCM_3" localSheetId="7">[1]Signal_List!#REF!</definedName>
    <definedName name="BCM_3" localSheetId="10">[1]Signal_List!#REF!</definedName>
    <definedName name="BCM_3" localSheetId="11">[1]Signal_List!#REF!</definedName>
    <definedName name="BCM_3">[1]Signal_List!#REF!</definedName>
    <definedName name="BCM_4" localSheetId="7">[1]Signal_List!#REF!</definedName>
    <definedName name="BCM_4" localSheetId="10">[1]Signal_List!#REF!</definedName>
    <definedName name="BCM_4" localSheetId="11">[1]Signal_List!#REF!</definedName>
    <definedName name="BCM_4">[1]Signal_List!#REF!</definedName>
    <definedName name="BCM_VIN" localSheetId="7">[1]Signal_List!#REF!</definedName>
    <definedName name="BCM_VIN" localSheetId="10">[1]Signal_List!#REF!</definedName>
    <definedName name="BCM_VIN" localSheetId="11">[1]Signal_List!#REF!</definedName>
    <definedName name="BCM_VIN">[1]Signal_List!#REF!</definedName>
    <definedName name="BCMDoor_1" localSheetId="7">[1]Signal_List!#REF!</definedName>
    <definedName name="BCMDoor_1" localSheetId="10">[1]Signal_List!#REF!</definedName>
    <definedName name="BCMDoor_1" localSheetId="11">[1]Signal_List!#REF!</definedName>
    <definedName name="BCMDoor_1">[1]Signal_List!#REF!</definedName>
    <definedName name="BCMLamp_1" localSheetId="7">[1]Signal_List!#REF!</definedName>
    <definedName name="BCMLamp_1" localSheetId="10">[1]Signal_List!#REF!</definedName>
    <definedName name="BCMLamp_1" localSheetId="11">[1]Signal_List!#REF!</definedName>
    <definedName name="BCMLamp_1">[1]Signal_List!#REF!</definedName>
    <definedName name="CAMERA_1" localSheetId="7">[1]Signal_List!#REF!</definedName>
    <definedName name="CAMERA_1" localSheetId="10">[1]Signal_List!#REF!</definedName>
    <definedName name="CAMERA_1" localSheetId="11">[1]Signal_List!#REF!</definedName>
    <definedName name="CAMERA_1">[1]Signal_List!#REF!</definedName>
    <definedName name="CAMERA_2_R" localSheetId="7">[1]Signal_List!#REF!</definedName>
    <definedName name="CAMERA_2_R" localSheetId="10">[1]Signal_List!#REF!</definedName>
    <definedName name="CAMERA_2_R" localSheetId="11">[1]Signal_List!#REF!</definedName>
    <definedName name="CAMERA_2_R">[1]Signal_List!#REF!</definedName>
    <definedName name="CLM_1" localSheetId="7">[1]Signal_List!#REF!</definedName>
    <definedName name="CLM_1" localSheetId="10">[1]Signal_List!#REF!</definedName>
    <definedName name="CLM_1" localSheetId="11">[1]Signal_List!#REF!</definedName>
    <definedName name="CLM_1">[1]Signal_List!#REF!</definedName>
    <definedName name="CLM_2" localSheetId="7">[1]Signal_List!#REF!</definedName>
    <definedName name="CLM_2" localSheetId="10">[1]Signal_List!#REF!</definedName>
    <definedName name="CLM_2" localSheetId="11">[1]Signal_List!#REF!</definedName>
    <definedName name="CLM_2">[1]Signal_List!#REF!</definedName>
    <definedName name="CP_2" localSheetId="7">[1]Signal_List!#REF!</definedName>
    <definedName name="CP_2" localSheetId="10">[1]Signal_List!#REF!</definedName>
    <definedName name="CP_2" localSheetId="11">[1]Signal_List!#REF!</definedName>
    <definedName name="CP_2">[1]Signal_List!#REF!</definedName>
    <definedName name="Diag_AUDIO_ReqPhsy" localSheetId="7">[1]Signal_List!#REF!</definedName>
    <definedName name="Diag_AUDIO_ReqPhsy" localSheetId="10">[1]Signal_List!#REF!</definedName>
    <definedName name="Diag_AUDIO_ReqPhsy" localSheetId="11">[1]Signal_List!#REF!</definedName>
    <definedName name="Diag_AUDIO_ReqPhsy">[1]Signal_List!#REF!</definedName>
    <definedName name="Diag_AUDIO_Resp" localSheetId="7">[1]Signal_List!#REF!</definedName>
    <definedName name="Diag_AUDIO_Resp" localSheetId="10">[1]Signal_List!#REF!</definedName>
    <definedName name="Diag_AUDIO_Resp" localSheetId="11">[1]Signal_List!#REF!</definedName>
    <definedName name="Diag_AUDIO_Resp">[1]Signal_List!#REF!</definedName>
    <definedName name="Diag_BCAN_ReqFunc" localSheetId="7">[1]Signal_List!#REF!</definedName>
    <definedName name="Diag_BCAN_ReqFunc" localSheetId="10">[1]Signal_List!#REF!</definedName>
    <definedName name="Diag_BCAN_ReqFunc" localSheetId="11">[1]Signal_List!#REF!</definedName>
    <definedName name="Diag_BCAN_ReqFunc">[1]Signal_List!#REF!</definedName>
    <definedName name="Diag_BCM_ReqPhsy" localSheetId="7">[1]Signal_List!#REF!</definedName>
    <definedName name="Diag_BCM_ReqPhsy" localSheetId="10">[1]Signal_List!#REF!</definedName>
    <definedName name="Diag_BCM_ReqPhsy" localSheetId="11">[1]Signal_List!#REF!</definedName>
    <definedName name="Diag_BCM_ReqPhsy">[1]Signal_List!#REF!</definedName>
    <definedName name="Diag_BCM_Resp" localSheetId="7">[1]Signal_List!#REF!</definedName>
    <definedName name="Diag_BCM_Resp" localSheetId="10">[1]Signal_List!#REF!</definedName>
    <definedName name="Diag_BCM_Resp" localSheetId="11">[1]Signal_List!#REF!</definedName>
    <definedName name="Diag_BCM_Resp">[1]Signal_List!#REF!</definedName>
    <definedName name="Diag_CAMERA_ReqPhsy" localSheetId="7">[1]Signal_List!#REF!</definedName>
    <definedName name="Diag_CAMERA_ReqPhsy" localSheetId="10">[1]Signal_List!#REF!</definedName>
    <definedName name="Diag_CAMERA_ReqPhsy" localSheetId="11">[1]Signal_List!#REF!</definedName>
    <definedName name="Diag_CAMERA_ReqPhsy">[1]Signal_List!#REF!</definedName>
    <definedName name="Diag_CAMERA_Resp" localSheetId="7">[1]Signal_List!#REF!</definedName>
    <definedName name="Diag_CAMERA_Resp" localSheetId="10">[1]Signal_List!#REF!</definedName>
    <definedName name="Diag_CAMERA_Resp" localSheetId="11">[1]Signal_List!#REF!</definedName>
    <definedName name="Diag_CAMERA_Resp">[1]Signal_List!#REF!</definedName>
    <definedName name="Diag_CLM_ReqPhsy" localSheetId="7">[1]Signal_List!#REF!</definedName>
    <definedName name="Diag_CLM_ReqPhsy" localSheetId="10">[1]Signal_List!#REF!</definedName>
    <definedName name="Diag_CLM_ReqPhsy" localSheetId="11">[1]Signal_List!#REF!</definedName>
    <definedName name="Diag_CLM_ReqPhsy">[1]Signal_List!#REF!</definedName>
    <definedName name="Diag_CLM_Resp" localSheetId="7">[1]Signal_List!#REF!</definedName>
    <definedName name="Diag_CLM_Resp" localSheetId="10">[1]Signal_List!#REF!</definedName>
    <definedName name="Diag_CLM_Resp" localSheetId="11">[1]Signal_List!#REF!</definedName>
    <definedName name="Diag_CLM_Resp">[1]Signal_List!#REF!</definedName>
    <definedName name="Diag_ESCL_ReqPhsy" localSheetId="7">[1]Signal_List!#REF!</definedName>
    <definedName name="Diag_ESCL_ReqPhsy" localSheetId="10">[1]Signal_List!#REF!</definedName>
    <definedName name="Diag_ESCL_ReqPhsy" localSheetId="11">[1]Signal_List!#REF!</definedName>
    <definedName name="Diag_ESCL_ReqPhsy">[1]Signal_List!#REF!</definedName>
    <definedName name="Diag_ESCL_Resp" localSheetId="7">[1]Signal_List!#REF!</definedName>
    <definedName name="Diag_ESCL_Resp" localSheetId="10">[1]Signal_List!#REF!</definedName>
    <definedName name="Diag_ESCL_Resp" localSheetId="11">[1]Signal_List!#REF!</definedName>
    <definedName name="Diag_ESCL_Resp">[1]Signal_List!#REF!</definedName>
    <definedName name="Diag_ICM_ReqPhsy" localSheetId="7">[1]Signal_List!#REF!</definedName>
    <definedName name="Diag_ICM_ReqPhsy" localSheetId="10">[1]Signal_List!#REF!</definedName>
    <definedName name="Diag_ICM_ReqPhsy" localSheetId="11">[1]Signal_List!#REF!</definedName>
    <definedName name="Diag_ICM_ReqPhsy">[1]Signal_List!#REF!</definedName>
    <definedName name="Diag_ICM_Resp" localSheetId="7">[1]Signal_List!#REF!</definedName>
    <definedName name="Diag_ICM_Resp" localSheetId="10">[1]Signal_List!#REF!</definedName>
    <definedName name="Diag_ICM_Resp" localSheetId="11">[1]Signal_List!#REF!</definedName>
    <definedName name="Diag_ICM_Resp">[1]Signal_List!#REF!</definedName>
    <definedName name="Diag_ICP_ReqPhsy" localSheetId="7">[1]Signal_List!#REF!</definedName>
    <definedName name="Diag_ICP_ReqPhsy" localSheetId="10">[1]Signal_List!#REF!</definedName>
    <definedName name="Diag_ICP_ReqPhsy" localSheetId="11">[1]Signal_List!#REF!</definedName>
    <definedName name="Diag_ICP_ReqPhsy">[1]Signal_List!#REF!</definedName>
    <definedName name="Diag_ICP_Resp" localSheetId="7">[1]Signal_List!#REF!</definedName>
    <definedName name="Diag_ICP_Resp" localSheetId="10">[1]Signal_List!#REF!</definedName>
    <definedName name="Diag_ICP_Resp" localSheetId="11">[1]Signal_List!#REF!</definedName>
    <definedName name="Diag_ICP_Resp">[1]Signal_List!#REF!</definedName>
    <definedName name="Diag_MFS_ReqPhsy" localSheetId="7">[1]Signal_List!#REF!</definedName>
    <definedName name="Diag_MFS_ReqPhsy" localSheetId="10">[1]Signal_List!#REF!</definedName>
    <definedName name="Diag_MFS_ReqPhsy" localSheetId="11">[1]Signal_List!#REF!</definedName>
    <definedName name="Diag_MFS_ReqPhsy">[1]Signal_List!#REF!</definedName>
    <definedName name="Diag_MFS_Resp" localSheetId="7">[1]Signal_List!#REF!</definedName>
    <definedName name="Diag_MFS_Resp" localSheetId="10">[1]Signal_List!#REF!</definedName>
    <definedName name="Diag_MFS_Resp" localSheetId="11">[1]Signal_List!#REF!</definedName>
    <definedName name="Diag_MFS_Resp">[1]Signal_List!#REF!</definedName>
    <definedName name="diag_note" localSheetId="13">'System DID_bak'!$A$3:$B$21</definedName>
    <definedName name="Diag_PEPS_ReqPhsy" localSheetId="7">[1]Signal_List!#REF!</definedName>
    <definedName name="Diag_PEPS_ReqPhsy" localSheetId="8">[1]Signal_List!#REF!</definedName>
    <definedName name="Diag_PEPS_ReqPhsy" localSheetId="10">[1]Signal_List!#REF!</definedName>
    <definedName name="Diag_PEPS_ReqPhsy" localSheetId="11">[1]Signal_List!#REF!</definedName>
    <definedName name="Diag_PEPS_ReqPhsy" localSheetId="18">[1]Signal_List!#REF!</definedName>
    <definedName name="Diag_PEPS_ReqPhsy">[1]Signal_List!#REF!</definedName>
    <definedName name="Diag_PEPS_Resp" localSheetId="7">[1]Signal_List!#REF!</definedName>
    <definedName name="Diag_PEPS_Resp" localSheetId="8">[1]Signal_List!#REF!</definedName>
    <definedName name="Diag_PEPS_Resp" localSheetId="10">[1]Signal_List!#REF!</definedName>
    <definedName name="Diag_PEPS_Resp" localSheetId="11">[1]Signal_List!#REF!</definedName>
    <definedName name="Diag_PEPS_Resp" localSheetId="18">[1]Signal_List!#REF!</definedName>
    <definedName name="Diag_PEPS_Resp">[1]Signal_List!#REF!</definedName>
    <definedName name="Diag_PLG_ReqPhsy" localSheetId="7">[1]Signal_List!#REF!</definedName>
    <definedName name="Diag_PLG_ReqPhsy" localSheetId="8">[1]Signal_List!#REF!</definedName>
    <definedName name="Diag_PLG_ReqPhsy" localSheetId="10">[1]Signal_List!#REF!</definedName>
    <definedName name="Diag_PLG_ReqPhsy" localSheetId="11">[1]Signal_List!#REF!</definedName>
    <definedName name="Diag_PLG_ReqPhsy" localSheetId="18">[1]Signal_List!#REF!</definedName>
    <definedName name="Diag_PLG_ReqPhsy">[1]Signal_List!#REF!</definedName>
    <definedName name="Diag_PLG_Resp" localSheetId="7">[1]Signal_List!#REF!</definedName>
    <definedName name="Diag_PLG_Resp" localSheetId="8">[1]Signal_List!#REF!</definedName>
    <definedName name="Diag_PLG_Resp" localSheetId="10">[1]Signal_List!#REF!</definedName>
    <definedName name="Diag_PLG_Resp" localSheetId="11">[1]Signal_List!#REF!</definedName>
    <definedName name="Diag_PLG_Resp" localSheetId="18">[1]Signal_List!#REF!</definedName>
    <definedName name="Diag_PLG_Resp">[1]Signal_List!#REF!</definedName>
    <definedName name="Diag_TBOX_ReqPhsy" localSheetId="7">[1]Signal_List!#REF!</definedName>
    <definedName name="Diag_TBOX_ReqPhsy" localSheetId="10">[1]Signal_List!#REF!</definedName>
    <definedName name="Diag_TBOX_ReqPhsy" localSheetId="11">[1]Signal_List!#REF!</definedName>
    <definedName name="Diag_TBOX_ReqPhsy">[1]Signal_List!#REF!</definedName>
    <definedName name="Diag_TBOX_Resp" localSheetId="7">[1]Signal_List!#REF!</definedName>
    <definedName name="Diag_TBOX_Resp" localSheetId="10">[1]Signal_List!#REF!</definedName>
    <definedName name="Diag_TBOX_Resp" localSheetId="11">[1]Signal_List!#REF!</definedName>
    <definedName name="Diag_TBOX_Resp">[1]Signal_List!#REF!</definedName>
    <definedName name="Diag_TPMS_ReqPhsy" localSheetId="7">[1]Signal_List!#REF!</definedName>
    <definedName name="Diag_TPMS_ReqPhsy" localSheetId="10">[1]Signal_List!#REF!</definedName>
    <definedName name="Diag_TPMS_ReqPhsy" localSheetId="11">[1]Signal_List!#REF!</definedName>
    <definedName name="Diag_TPMS_ReqPhsy">[1]Signal_List!#REF!</definedName>
    <definedName name="Diag_TPMS_Resp" localSheetId="7">[1]Signal_List!#REF!</definedName>
    <definedName name="Diag_TPMS_Resp" localSheetId="10">[1]Signal_List!#REF!</definedName>
    <definedName name="Diag_TPMS_Resp" localSheetId="11">[1]Signal_List!#REF!</definedName>
    <definedName name="Diag_TPMS_Resp">[1]Signal_List!#REF!</definedName>
    <definedName name="DOI">#REF!</definedName>
    <definedName name="EMS_Teach" localSheetId="7">[1]Signal_List!#REF!</definedName>
    <definedName name="EMS_Teach" localSheetId="10">[1]Signal_List!#REF!</definedName>
    <definedName name="EMS_Teach" localSheetId="11">[1]Signal_List!#REF!</definedName>
    <definedName name="EMS_Teach">[1]Signal_List!#REF!</definedName>
    <definedName name="GWB_AWD_1" localSheetId="7">[1]Signal_List!#REF!</definedName>
    <definedName name="GWB_AWD_1" localSheetId="10">[1]Signal_List!#REF!</definedName>
    <definedName name="GWB_AWD_1" localSheetId="11">[1]Signal_List!#REF!</definedName>
    <definedName name="GWB_AWD_1">[1]Signal_List!#REF!</definedName>
    <definedName name="GWB_Brake_1" localSheetId="7">[1]Signal_List!#REF!</definedName>
    <definedName name="GWB_Brake_1" localSheetId="10">[1]Signal_List!#REF!</definedName>
    <definedName name="GWB_Brake_1" localSheetId="11">[1]Signal_List!#REF!</definedName>
    <definedName name="GWB_Brake_1">[1]Signal_List!#REF!</definedName>
    <definedName name="GWB_Brake_7" localSheetId="7">[1]Signal_List!#REF!</definedName>
    <definedName name="GWB_Brake_7" localSheetId="10">[1]Signal_List!#REF!</definedName>
    <definedName name="GWB_Brake_7" localSheetId="11">[1]Signal_List!#REF!</definedName>
    <definedName name="GWB_Brake_7">[1]Signal_List!#REF!</definedName>
    <definedName name="GWB_EMS_1" localSheetId="7">[1]Signal_List!#REF!</definedName>
    <definedName name="GWB_EMS_1" localSheetId="10">[1]Signal_List!#REF!</definedName>
    <definedName name="GWB_EMS_1" localSheetId="11">[1]Signal_List!#REF!</definedName>
    <definedName name="GWB_EMS_1">[1]Signal_List!#REF!</definedName>
    <definedName name="GWB_EMS_2" localSheetId="7">[1]Signal_List!#REF!</definedName>
    <definedName name="GWB_EMS_2" localSheetId="10">[1]Signal_List!#REF!</definedName>
    <definedName name="GWB_EMS_2" localSheetId="11">[1]Signal_List!#REF!</definedName>
    <definedName name="GWB_EMS_2">[1]Signal_List!#REF!</definedName>
    <definedName name="GWB_EMS_3" localSheetId="7">[1]Signal_List!#REF!</definedName>
    <definedName name="GWB_EMS_3" localSheetId="10">[1]Signal_List!#REF!</definedName>
    <definedName name="GWB_EMS_3" localSheetId="11">[1]Signal_List!#REF!</definedName>
    <definedName name="GWB_EMS_3">[1]Signal_List!#REF!</definedName>
    <definedName name="GWB_EMS_4" localSheetId="7">[1]Signal_List!#REF!</definedName>
    <definedName name="GWB_EMS_4" localSheetId="10">[1]Signal_List!#REF!</definedName>
    <definedName name="GWB_EMS_4" localSheetId="11">[1]Signal_List!#REF!</definedName>
    <definedName name="GWB_EMS_4">[1]Signal_List!#REF!</definedName>
    <definedName name="GWB_EMS_5" localSheetId="7">[1]Signal_List!#REF!</definedName>
    <definedName name="GWB_EMS_5" localSheetId="10">[1]Signal_List!#REF!</definedName>
    <definedName name="GWB_EMS_5" localSheetId="11">[1]Signal_List!#REF!</definedName>
    <definedName name="GWB_EMS_5">[1]Signal_List!#REF!</definedName>
    <definedName name="GWB_EPB_1" localSheetId="7">[1]Signal_List!#REF!</definedName>
    <definedName name="GWB_EPB_1" localSheetId="10">[1]Signal_List!#REF!</definedName>
    <definedName name="GWB_EPB_1" localSheetId="11">[1]Signal_List!#REF!</definedName>
    <definedName name="GWB_EPB_1">[1]Signal_List!#REF!</definedName>
    <definedName name="GWB_EPS_3" localSheetId="7">[1]Signal_List!#REF!</definedName>
    <definedName name="GWB_EPS_3" localSheetId="10">[1]Signal_List!#REF!</definedName>
    <definedName name="GWB_EPS_3" localSheetId="11">[1]Signal_List!#REF!</definedName>
    <definedName name="GWB_EPS_3">[1]Signal_List!#REF!</definedName>
    <definedName name="GWB_PAS_1" localSheetId="7">[1]Signal_List!#REF!</definedName>
    <definedName name="GWB_PAS_1" localSheetId="10">[1]Signal_List!#REF!</definedName>
    <definedName name="GWB_PAS_1" localSheetId="11">[1]Signal_List!#REF!</definedName>
    <definedName name="GWB_PAS_1">[1]Signal_List!#REF!</definedName>
    <definedName name="GWB_PAS_2" localSheetId="7">[1]Signal_List!#REF!</definedName>
    <definedName name="GWB_PAS_2" localSheetId="10">[1]Signal_List!#REF!</definedName>
    <definedName name="GWB_PAS_2" localSheetId="11">[1]Signal_List!#REF!</definedName>
    <definedName name="GWB_PAS_2">[1]Signal_List!#REF!</definedName>
    <definedName name="GWB_PAS_5" localSheetId="7">[1]Signal_List!#REF!</definedName>
    <definedName name="GWB_PAS_5" localSheetId="10">[1]Signal_List!#REF!</definedName>
    <definedName name="GWB_PAS_5" localSheetId="11">[1]Signal_List!#REF!</definedName>
    <definedName name="GWB_PAS_5">[1]Signal_List!#REF!</definedName>
    <definedName name="GWB_SDM_1" localSheetId="7">[1]Signal_List!#REF!</definedName>
    <definedName name="GWB_SDM_1" localSheetId="10">[1]Signal_List!#REF!</definedName>
    <definedName name="GWB_SDM_1" localSheetId="11">[1]Signal_List!#REF!</definedName>
    <definedName name="GWB_SDM_1">[1]Signal_List!#REF!</definedName>
    <definedName name="GWB_TCM_1" localSheetId="7">[1]Signal_List!#REF!</definedName>
    <definedName name="GWB_TCM_1" localSheetId="10">[1]Signal_List!#REF!</definedName>
    <definedName name="GWB_TCM_1" localSheetId="11">[1]Signal_List!#REF!</definedName>
    <definedName name="GWB_TCM_1">[1]Signal_List!#REF!</definedName>
    <definedName name="GWB_XWD_1" localSheetId="7">[1]Signal_List!#REF!</definedName>
    <definedName name="GWB_XWD_1" localSheetId="10">[1]Signal_List!#REF!</definedName>
    <definedName name="GWB_XWD_1" localSheetId="11">[1]Signal_List!#REF!</definedName>
    <definedName name="GWB_XWD_1">[1]Signal_List!#REF!</definedName>
    <definedName name="ICM_1" localSheetId="7">[1]Signal_List!#REF!</definedName>
    <definedName name="ICM_1" localSheetId="10">[1]Signal_List!#REF!</definedName>
    <definedName name="ICM_1" localSheetId="11">[1]Signal_List!#REF!</definedName>
    <definedName name="ICM_1">[1]Signal_List!#REF!</definedName>
    <definedName name="ICM_2" localSheetId="7">[1]Signal_List!#REF!</definedName>
    <definedName name="ICM_2" localSheetId="10">[1]Signal_List!#REF!</definedName>
    <definedName name="ICM_2" localSheetId="11">[1]Signal_List!#REF!</definedName>
    <definedName name="ICM_2">[1]Signal_List!#REF!</definedName>
    <definedName name="ICM_3" localSheetId="7">[1]Signal_List!#REF!</definedName>
    <definedName name="ICM_3" localSheetId="10">[1]Signal_List!#REF!</definedName>
    <definedName name="ICM_3" localSheetId="11">[1]Signal_List!#REF!</definedName>
    <definedName name="ICM_3">[1]Signal_List!#REF!</definedName>
    <definedName name="ICM_VIN" localSheetId="7">[1]Signal_List!#REF!</definedName>
    <definedName name="ICM_VIN" localSheetId="10">[1]Signal_List!#REF!</definedName>
    <definedName name="ICM_VIN" localSheetId="11">[1]Signal_List!#REF!</definedName>
    <definedName name="ICM_VIN">[1]Signal_List!#REF!</definedName>
    <definedName name="IMMO_Challenge" localSheetId="7">[1]Signal_List!#REF!</definedName>
    <definedName name="IMMO_Challenge" localSheetId="10">[1]Signal_List!#REF!</definedName>
    <definedName name="IMMO_Challenge" localSheetId="11">[1]Signal_List!#REF!</definedName>
    <definedName name="IMMO_Challenge">[1]Signal_List!#REF!</definedName>
    <definedName name="IMMO_Response" localSheetId="7">[1]Signal_List!#REF!</definedName>
    <definedName name="IMMO_Response" localSheetId="10">[1]Signal_List!#REF!</definedName>
    <definedName name="IMMO_Response" localSheetId="11">[1]Signal_List!#REF!</definedName>
    <definedName name="IMMO_Response">[1]Signal_List!#REF!</definedName>
    <definedName name="IMMO_Teach" localSheetId="7">[1]Signal_List!#REF!</definedName>
    <definedName name="IMMO_Teach" localSheetId="10">[1]Signal_List!#REF!</definedName>
    <definedName name="IMMO_Teach" localSheetId="11">[1]Signal_List!#REF!</definedName>
    <definedName name="IMMO_Teach">[1]Signal_List!#REF!</definedName>
    <definedName name="NM_AUDIO" localSheetId="7">[1]Signal_List!#REF!</definedName>
    <definedName name="NM_AUDIO" localSheetId="10">[1]Signal_List!#REF!</definedName>
    <definedName name="NM_AUDIO" localSheetId="11">[1]Signal_List!#REF!</definedName>
    <definedName name="NM_AUDIO">[1]Signal_List!#REF!</definedName>
    <definedName name="NM_BCM" localSheetId="7">[1]Signal_List!#REF!</definedName>
    <definedName name="NM_BCM" localSheetId="10">[1]Signal_List!#REF!</definedName>
    <definedName name="NM_BCM" localSheetId="11">[1]Signal_List!#REF!</definedName>
    <definedName name="NM_BCM">[1]Signal_List!#REF!</definedName>
    <definedName name="NM_CAMERA" localSheetId="7">[1]Signal_List!#REF!</definedName>
    <definedName name="NM_CAMERA" localSheetId="10">[1]Signal_List!#REF!</definedName>
    <definedName name="NM_CAMERA" localSheetId="11">[1]Signal_List!#REF!</definedName>
    <definedName name="NM_CAMERA">[1]Signal_List!#REF!</definedName>
    <definedName name="NM_CLM" localSheetId="7">[1]Signal_List!#REF!</definedName>
    <definedName name="NM_CLM" localSheetId="10">[1]Signal_List!#REF!</definedName>
    <definedName name="NM_CLM" localSheetId="11">[1]Signal_List!#REF!</definedName>
    <definedName name="NM_CLM">[1]Signal_List!#REF!</definedName>
    <definedName name="NM_GW_B" localSheetId="7">[1]Signal_List!#REF!</definedName>
    <definedName name="NM_GW_B" localSheetId="10">[1]Signal_List!#REF!</definedName>
    <definedName name="NM_GW_B" localSheetId="11">[1]Signal_List!#REF!</definedName>
    <definedName name="NM_GW_B">[1]Signal_List!#REF!</definedName>
    <definedName name="NM_ICM" localSheetId="7">[1]Signal_List!#REF!</definedName>
    <definedName name="NM_ICM" localSheetId="10">[1]Signal_List!#REF!</definedName>
    <definedName name="NM_ICM" localSheetId="11">[1]Signal_List!#REF!</definedName>
    <definedName name="NM_ICM">[1]Signal_List!#REF!</definedName>
    <definedName name="NM_ICP" localSheetId="7">[1]Signal_List!#REF!</definedName>
    <definedName name="NM_ICP" localSheetId="10">[1]Signal_List!#REF!</definedName>
    <definedName name="NM_ICP" localSheetId="11">[1]Signal_List!#REF!</definedName>
    <definedName name="NM_ICP">[1]Signal_List!#REF!</definedName>
    <definedName name="NM_MFS" localSheetId="7">[1]Signal_List!#REF!</definedName>
    <definedName name="NM_MFS" localSheetId="10">[1]Signal_List!#REF!</definedName>
    <definedName name="NM_MFS" localSheetId="11">[1]Signal_List!#REF!</definedName>
    <definedName name="NM_MFS">[1]Signal_List!#REF!</definedName>
    <definedName name="NM_PEPS" localSheetId="7">[1]Signal_List!#REF!</definedName>
    <definedName name="NM_PEPS" localSheetId="10">[1]Signal_List!#REF!</definedName>
    <definedName name="NM_PEPS" localSheetId="11">[1]Signal_List!#REF!</definedName>
    <definedName name="NM_PEPS">[1]Signal_List!#REF!</definedName>
    <definedName name="NM_PLGM" localSheetId="7">[1]Signal_List!#REF!</definedName>
    <definedName name="NM_PLGM" localSheetId="10">[1]Signal_List!#REF!</definedName>
    <definedName name="NM_PLGM" localSheetId="11">[1]Signal_List!#REF!</definedName>
    <definedName name="NM_PLGM">[1]Signal_List!#REF!</definedName>
    <definedName name="NM_TBOX" localSheetId="7">[1]Signal_List!#REF!</definedName>
    <definedName name="NM_TBOX" localSheetId="10">[1]Signal_List!#REF!</definedName>
    <definedName name="NM_TBOX" localSheetId="11">[1]Signal_List!#REF!</definedName>
    <definedName name="NM_TBOX">[1]Signal_List!#REF!</definedName>
    <definedName name="NM_TPMS" localSheetId="7">[1]Signal_List!#REF!</definedName>
    <definedName name="NM_TPMS" localSheetId="10">[1]Signal_List!#REF!</definedName>
    <definedName name="NM_TPMS" localSheetId="11">[1]Signal_List!#REF!</definedName>
    <definedName name="NM_TPMS">[1]Signal_List!#REF!</definedName>
    <definedName name="PEPS_1" localSheetId="7">[1]Signal_List!#REF!</definedName>
    <definedName name="PEPS_1" localSheetId="10">[1]Signal_List!#REF!</definedName>
    <definedName name="PEPS_1" localSheetId="11">[1]Signal_List!#REF!</definedName>
    <definedName name="PEPS_1">[1]Signal_List!#REF!</definedName>
    <definedName name="_xlnm.Print_Area" localSheetId="6">'02.1.ApplicationServices'!$A$4:$P$7</definedName>
    <definedName name="_xlnm.Print_Area" localSheetId="7">'02.2.BootServices '!$A$4:$R$8</definedName>
    <definedName name="_xlnm.Print_Area" localSheetId="25">'DTC-List'!$A$1:$U$46</definedName>
    <definedName name="_xlnm.Print_Area" localSheetId="26">'ECU DID'!$A$1:$Q$22</definedName>
    <definedName name="_xlnm.Print_Area" localSheetId="21">Terms!$A$1:$C$57</definedName>
    <definedName name="TPMS_1" localSheetId="7">[1]Signal_List!#REF!</definedName>
    <definedName name="TPMS_1" localSheetId="8">[1]Signal_List!#REF!</definedName>
    <definedName name="TPMS_1" localSheetId="10">[1]Signal_List!#REF!</definedName>
    <definedName name="TPMS_1" localSheetId="11">[1]Signal_List!#REF!</definedName>
    <definedName name="TPMS_1" localSheetId="18">[1]Signal_List!#REF!</definedName>
    <definedName name="TPMS_1">[1]Signal_List!#REF!</definedName>
    <definedName name="TPMS_2" localSheetId="7">[1]Signal_List!#REF!</definedName>
    <definedName name="TPMS_2" localSheetId="8">[1]Signal_List!#REF!</definedName>
    <definedName name="TPMS_2" localSheetId="10">[1]Signal_List!#REF!</definedName>
    <definedName name="TPMS_2" localSheetId="11">[1]Signal_List!#REF!</definedName>
    <definedName name="TPMS_2" localSheetId="18">[1]Signal_List!#REF!</definedName>
    <definedName name="TPMS_2">[1]Signal_List!#REF!</definedName>
    <definedName name="Z_775489E8_B60E_471C_A6AB_7B7C70032C61_.wvu.Cols" localSheetId="15" hidden="1">'03.5.Routine DID 0x31'!#REF!</definedName>
    <definedName name="Z_775489E8_B60E_471C_A6AB_7B7C70032C61_.wvu.PrintArea" localSheetId="21" hidden="1">Terms!$A$1:$C$57</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Niu Jixiang</author>
  </authors>
  <commentList>
    <comment ref="B2" authorId="0">
      <text>
        <r>
          <rPr>
            <b/>
            <sz val="9"/>
            <rFont val="宋体"/>
            <charset val="134"/>
          </rPr>
          <t>Niu Jixiang:</t>
        </r>
        <r>
          <rPr>
            <sz val="9"/>
            <rFont val="宋体"/>
            <charset val="134"/>
          </rPr>
          <t xml:space="preserve">
本页仅用于查询版本管理，无需填写</t>
        </r>
      </text>
    </comment>
  </commentList>
</comments>
</file>

<file path=xl/comments2.xml><?xml version="1.0" encoding="utf-8"?>
<comments xmlns="http://schemas.openxmlformats.org/spreadsheetml/2006/main">
  <authors>
    <author>Niu Jixiang</author>
  </authors>
  <commentList>
    <comment ref="C3" authorId="0">
      <text>
        <r>
          <rPr>
            <b/>
            <sz val="9"/>
            <rFont val="宋体"/>
            <charset val="134"/>
          </rPr>
          <t>Niu Jixiang:</t>
        </r>
        <r>
          <rPr>
            <sz val="9"/>
            <rFont val="宋体"/>
            <charset val="134"/>
          </rPr>
          <t xml:space="preserve">
本页仅用于文档结构，无需填写</t>
        </r>
      </text>
    </comment>
  </commentList>
</comments>
</file>

<file path=xl/comments3.xml><?xml version="1.0" encoding="utf-8"?>
<comments xmlns="http://schemas.openxmlformats.org/spreadsheetml/2006/main">
  <authors>
    <author>Niu Jixiang</author>
  </authors>
  <commentList>
    <comment ref="B3" authorId="0">
      <text>
        <r>
          <rPr>
            <b/>
            <sz val="9"/>
            <rFont val="宋体"/>
            <charset val="134"/>
          </rPr>
          <t>Niu Jixiang:</t>
        </r>
        <r>
          <rPr>
            <sz val="9"/>
            <rFont val="宋体"/>
            <charset val="134"/>
          </rPr>
          <t xml:space="preserve">
本页仅用于文档结构，无需填写</t>
        </r>
      </text>
    </comment>
  </commentList>
</comments>
</file>

<file path=xl/comments4.xml><?xml version="1.0" encoding="utf-8"?>
<comments xmlns="http://schemas.openxmlformats.org/spreadsheetml/2006/main">
  <authors>
    <author>Niu Jixiang</author>
  </authors>
  <commentList>
    <comment ref="B7" authorId="0">
      <text>
        <r>
          <rPr>
            <b/>
            <sz val="9"/>
            <rFont val="宋体"/>
            <charset val="134"/>
          </rPr>
          <t xml:space="preserve">Niu Jixiang:
</t>
        </r>
        <r>
          <rPr>
            <sz val="9"/>
            <rFont val="宋体"/>
            <charset val="134"/>
          </rPr>
          <t>下拉框选择</t>
        </r>
      </text>
    </comment>
    <comment ref="B17" authorId="0">
      <text>
        <r>
          <rPr>
            <b/>
            <sz val="9"/>
            <rFont val="宋体"/>
            <charset val="134"/>
          </rPr>
          <t>Niu Jixiang:</t>
        </r>
        <r>
          <rPr>
            <sz val="9"/>
            <rFont val="宋体"/>
            <charset val="134"/>
          </rPr>
          <t xml:space="preserve">
填写部件ECU的CANID</t>
        </r>
      </text>
    </comment>
    <comment ref="B18" authorId="0">
      <text>
        <r>
          <rPr>
            <b/>
            <sz val="9"/>
            <rFont val="宋体"/>
            <charset val="134"/>
          </rPr>
          <t>Niu Jixiang:</t>
        </r>
        <r>
          <rPr>
            <sz val="9"/>
            <rFont val="宋体"/>
            <charset val="134"/>
          </rPr>
          <t xml:space="preserve">
填写部件ECU的CANID</t>
        </r>
      </text>
    </comment>
    <comment ref="B32" authorId="0">
      <text>
        <r>
          <rPr>
            <b/>
            <sz val="9"/>
            <rFont val="宋体"/>
            <charset val="134"/>
          </rPr>
          <t>Niu Jixiang:</t>
        </r>
        <r>
          <rPr>
            <sz val="9"/>
            <rFont val="宋体"/>
            <charset val="134"/>
          </rPr>
          <t xml:space="preserve">
诊断规范规定APP和Boot程序中的BS参数均为0</t>
        </r>
      </text>
    </comment>
    <comment ref="B43" authorId="0">
      <text>
        <r>
          <rPr>
            <b/>
            <sz val="9"/>
            <rFont val="宋体"/>
            <charset val="134"/>
          </rPr>
          <t>Niu Jixiang:</t>
        </r>
        <r>
          <rPr>
            <sz val="9"/>
            <rFont val="宋体"/>
            <charset val="134"/>
          </rPr>
          <t xml:space="preserve">
DoIP节点填写部件的IP地址，参考《智选车项目以太通讯配置规范说明书》；CAN/CANFD节点填写“/”</t>
        </r>
      </text>
    </comment>
    <comment ref="B44" authorId="0">
      <text>
        <r>
          <rPr>
            <b/>
            <sz val="9"/>
            <rFont val="宋体"/>
            <charset val="134"/>
          </rPr>
          <t>Niu Jixiang:</t>
        </r>
        <r>
          <rPr>
            <sz val="9"/>
            <rFont val="宋体"/>
            <charset val="134"/>
          </rPr>
          <t xml:space="preserve">
填写部件的逻辑地址，参考《智选车诊断逻辑地址分配表》</t>
        </r>
      </text>
    </comment>
  </commentList>
</comments>
</file>

<file path=xl/comments5.xml><?xml version="1.0" encoding="utf-8"?>
<comments xmlns="http://schemas.openxmlformats.org/spreadsheetml/2006/main">
  <authors>
    <author>zhangwenhe</author>
  </authors>
  <commentList>
    <comment ref="O5" authorId="0">
      <text>
        <r>
          <rPr>
            <b/>
            <sz val="9"/>
            <rFont val="宋体"/>
            <charset val="134"/>
          </rPr>
          <t>zhangwenhe:</t>
        </r>
        <r>
          <rPr>
            <sz val="9"/>
            <rFont val="宋体"/>
            <charset val="134"/>
          </rPr>
          <t xml:space="preserve">
1、Y,Y,Y代表不需要解锁
2、N,Y,N代表需要2701解锁</t>
        </r>
      </text>
    </comment>
  </commentList>
</comments>
</file>

<file path=xl/comments6.xml><?xml version="1.0" encoding="utf-8"?>
<comments xmlns="http://schemas.openxmlformats.org/spreadsheetml/2006/main">
  <authors>
    <author>Niu Jixiang</author>
    <author>Cai,Hechen (YFI,Nanjing,CN)</author>
    <author>Li,Hongju (YFI,Shanghai,CN)</author>
  </authors>
  <commentList>
    <comment ref="F4" authorId="0">
      <text>
        <r>
          <rPr>
            <b/>
            <sz val="9"/>
            <rFont val="宋体"/>
            <charset val="134"/>
          </rPr>
          <t>Niu Jixiang:</t>
        </r>
        <r>
          <rPr>
            <sz val="9"/>
            <rFont val="宋体"/>
            <charset val="134"/>
          </rPr>
          <t xml:space="preserve">
ECU进行填写，是否支持，只能选择“Y/N”</t>
        </r>
      </text>
    </comment>
    <comment ref="K4" authorId="0">
      <text>
        <r>
          <rPr>
            <b/>
            <sz val="9"/>
            <rFont val="宋体"/>
            <charset val="134"/>
          </rPr>
          <t>Niu Jixiang:</t>
        </r>
        <r>
          <rPr>
            <sz val="9"/>
            <rFont val="宋体"/>
            <charset val="134"/>
          </rPr>
          <t xml:space="preserve">
若没有子数据，直接复制DID描述</t>
        </r>
      </text>
    </comment>
    <comment ref="M4" authorId="0">
      <text>
        <r>
          <rPr>
            <b/>
            <sz val="9"/>
            <rFont val="宋体"/>
            <charset val="134"/>
          </rPr>
          <t>Niu Jixiang:</t>
        </r>
        <r>
          <rPr>
            <sz val="9"/>
            <rFont val="宋体"/>
            <charset val="134"/>
          </rPr>
          <t xml:space="preserve">
最小值和最大值填写转换后的DEC值</t>
        </r>
      </text>
    </comment>
    <comment ref="P4" authorId="0">
      <text>
        <r>
          <rPr>
            <b/>
            <sz val="9"/>
            <rFont val="宋体"/>
            <charset val="134"/>
          </rPr>
          <t>Niu Jixiang:</t>
        </r>
        <r>
          <rPr>
            <sz val="9"/>
            <rFont val="宋体"/>
            <charset val="134"/>
          </rPr>
          <t xml:space="preserve">
方法类型参考Legend页</t>
        </r>
      </text>
    </comment>
    <comment ref="R9" authorId="1">
      <text>
        <r>
          <rPr>
            <sz val="9"/>
            <rFont val="宋体"/>
            <charset val="134"/>
          </rPr>
          <t xml:space="preserve">VX.YY
X为大版本，初始版本为1，当控制器硬件大升级时+1；
YY为小版本，初始版本为01，每次控制器硬件小升级（Boot与硬件能兼容）时+1
</t>
        </r>
      </text>
    </comment>
    <comment ref="R10" authorId="2">
      <text>
        <r>
          <rPr>
            <sz val="9"/>
            <rFont val="宋体"/>
            <charset val="134"/>
          </rPr>
          <t>AA.BB.CC_YYMMDD
AA为主版本，初始值为01， 每次重大升级+1
BB为子版本，处置值为00，在原有功能基础上进行部分修改时+1；当大版本升级+1时，恢复成00
CC为修正版本，仅局部修改或者Budfix时+1
YYMMDD为年月日</t>
        </r>
      </text>
    </comment>
    <comment ref="R13" authorId="2">
      <text>
        <r>
          <rPr>
            <sz val="9"/>
            <rFont val="宋体"/>
            <charset val="134"/>
          </rPr>
          <t>AA.BB.CC_YYMMDD
AA为主版本，初始值为01， 每次重大升级+1
BB为子版本，处置值为00，在原有功能基础上进行部分修改时+1；当大版本升级+1时，恢复成00
CC为修正版本，仅局部修改或者Budfix时+1
YYMMDD为年月日</t>
        </r>
      </text>
    </comment>
    <comment ref="AF26" authorId="2">
      <text>
        <r>
          <rPr>
            <b/>
            <sz val="9"/>
            <rFont val="宋体"/>
            <charset val="134"/>
          </rPr>
          <t>初始状态下仅可写入一次</t>
        </r>
      </text>
    </comment>
    <comment ref="AK26" authorId="2">
      <text>
        <r>
          <rPr>
            <b/>
            <sz val="9"/>
            <rFont val="宋体"/>
            <charset val="134"/>
          </rPr>
          <t>初始状态下仅可写入一次</t>
        </r>
      </text>
    </comment>
  </commentList>
</comments>
</file>

<file path=xl/comments7.xml><?xml version="1.0" encoding="utf-8"?>
<comments xmlns="http://schemas.openxmlformats.org/spreadsheetml/2006/main">
  <authors>
    <author>Niu Jixiang</author>
  </authors>
  <commentList>
    <comment ref="I4" authorId="0">
      <text>
        <r>
          <rPr>
            <b/>
            <sz val="9"/>
            <rFont val="宋体"/>
            <charset val="134"/>
          </rPr>
          <t>Niu Jixiang:</t>
        </r>
        <r>
          <rPr>
            <sz val="9"/>
            <rFont val="宋体"/>
            <charset val="134"/>
          </rPr>
          <t xml:space="preserve">
若没有子数据，直接复制DID描述</t>
        </r>
      </text>
    </comment>
    <comment ref="K4" authorId="0">
      <text>
        <r>
          <rPr>
            <b/>
            <sz val="9"/>
            <rFont val="宋体"/>
            <charset val="134"/>
          </rPr>
          <t>Niu Jixiang:</t>
        </r>
        <r>
          <rPr>
            <sz val="9"/>
            <rFont val="宋体"/>
            <charset val="134"/>
          </rPr>
          <t xml:space="preserve">
最小值和最大值填写转换后的DEC值</t>
        </r>
      </text>
    </comment>
    <comment ref="N4" authorId="0">
      <text>
        <r>
          <rPr>
            <b/>
            <sz val="9"/>
            <rFont val="宋体"/>
            <charset val="134"/>
          </rPr>
          <t>Niu Jixiang:</t>
        </r>
        <r>
          <rPr>
            <sz val="9"/>
            <rFont val="宋体"/>
            <charset val="134"/>
          </rPr>
          <t xml:space="preserve">
方法类型参考Legend页</t>
        </r>
      </text>
    </comment>
  </commentList>
</comments>
</file>

<file path=xl/comments8.xml><?xml version="1.0" encoding="utf-8"?>
<comments xmlns="http://schemas.openxmlformats.org/spreadsheetml/2006/main">
  <authors>
    <author>Niu Jixiang</author>
  </authors>
  <commentList>
    <comment ref="I4" authorId="0">
      <text>
        <r>
          <rPr>
            <b/>
            <sz val="9"/>
            <rFont val="宋体"/>
            <charset val="134"/>
          </rPr>
          <t>Niu Jixiang:</t>
        </r>
        <r>
          <rPr>
            <sz val="9"/>
            <rFont val="宋体"/>
            <charset val="134"/>
          </rPr>
          <t xml:space="preserve">
若没有子数据，直接复制DID描述</t>
        </r>
      </text>
    </comment>
    <comment ref="K4" authorId="0">
      <text>
        <r>
          <rPr>
            <b/>
            <sz val="9"/>
            <rFont val="宋体"/>
            <charset val="134"/>
          </rPr>
          <t>Niu Jixiang:</t>
        </r>
        <r>
          <rPr>
            <sz val="9"/>
            <rFont val="宋体"/>
            <charset val="134"/>
          </rPr>
          <t xml:space="preserve">
最小值和最大值填写转换后的DEC值</t>
        </r>
      </text>
    </comment>
    <comment ref="N4" authorId="0">
      <text>
        <r>
          <rPr>
            <b/>
            <sz val="9"/>
            <rFont val="宋体"/>
            <charset val="134"/>
          </rPr>
          <t>Niu Jixiang:</t>
        </r>
        <r>
          <rPr>
            <sz val="9"/>
            <rFont val="宋体"/>
            <charset val="134"/>
          </rPr>
          <t xml:space="preserve">
方法类型参考Legend页</t>
        </r>
      </text>
    </comment>
  </commentList>
</comments>
</file>

<file path=xl/comments9.xml><?xml version="1.0" encoding="utf-8"?>
<comments xmlns="http://schemas.openxmlformats.org/spreadsheetml/2006/main">
  <authors>
    <author>Niu Jixiang</author>
  </authors>
  <commentList>
    <comment ref="E4" authorId="0">
      <text>
        <r>
          <rPr>
            <b/>
            <sz val="9"/>
            <rFont val="宋体"/>
            <charset val="134"/>
          </rPr>
          <t>Niu Jixiang:</t>
        </r>
        <r>
          <rPr>
            <sz val="9"/>
            <rFont val="宋体"/>
            <charset val="134"/>
          </rPr>
          <t xml:space="preserve">
按照诊断规范进行选择：
0x00/0x01/0x02/0x03</t>
        </r>
      </text>
    </comment>
    <comment ref="I5" authorId="0">
      <text>
        <r>
          <rPr>
            <b/>
            <sz val="9"/>
            <rFont val="宋体"/>
            <charset val="134"/>
          </rPr>
          <t>Niu Jixiang:</t>
        </r>
        <r>
          <rPr>
            <sz val="9"/>
            <rFont val="宋体"/>
            <charset val="134"/>
          </rPr>
          <t xml:space="preserve">
若没有子数据，直接复制DID描述</t>
        </r>
      </text>
    </comment>
    <comment ref="K5" authorId="0">
      <text>
        <r>
          <rPr>
            <b/>
            <sz val="9"/>
            <rFont val="宋体"/>
            <charset val="134"/>
          </rPr>
          <t>Niu Jixiang:</t>
        </r>
        <r>
          <rPr>
            <sz val="9"/>
            <rFont val="宋体"/>
            <charset val="134"/>
          </rPr>
          <t xml:space="preserve">
最小值和最大值填写转换后的DEC值</t>
        </r>
      </text>
    </comment>
    <comment ref="N5" authorId="0">
      <text>
        <r>
          <rPr>
            <b/>
            <sz val="9"/>
            <rFont val="宋体"/>
            <charset val="134"/>
          </rPr>
          <t>Niu Jixiang:</t>
        </r>
        <r>
          <rPr>
            <sz val="9"/>
            <rFont val="宋体"/>
            <charset val="134"/>
          </rPr>
          <t xml:space="preserve">
方法类型参考Legend页</t>
        </r>
      </text>
    </comment>
  </commentList>
</comments>
</file>

<file path=xl/comments10.xml><?xml version="1.0" encoding="utf-8"?>
<comments xmlns="http://schemas.openxmlformats.org/spreadsheetml/2006/main">
  <authors>
    <author>Niu Jixiang</author>
    <author>zhangwenhe</author>
  </authors>
  <commentList>
    <comment ref="F4" authorId="0">
      <text>
        <r>
          <rPr>
            <b/>
            <sz val="9"/>
            <rFont val="宋体"/>
            <charset val="134"/>
          </rPr>
          <t>Niu Jixiang:</t>
        </r>
        <r>
          <rPr>
            <sz val="9"/>
            <rFont val="宋体"/>
            <charset val="134"/>
          </rPr>
          <t xml:space="preserve">
ECU进行填写，是否支持，只能选择“Y/N”</t>
        </r>
      </text>
    </comment>
    <comment ref="H4" authorId="0">
      <text>
        <r>
          <rPr>
            <b/>
            <sz val="9"/>
            <rFont val="宋体"/>
            <charset val="134"/>
          </rPr>
          <t>Niu Jixiang:</t>
        </r>
        <r>
          <rPr>
            <sz val="9"/>
            <rFont val="宋体"/>
            <charset val="134"/>
          </rPr>
          <t xml:space="preserve">
ECU进行填写，是否支持，只能选择“Y/N”</t>
        </r>
      </text>
    </comment>
    <comment ref="L5" authorId="0">
      <text>
        <r>
          <rPr>
            <b/>
            <sz val="9"/>
            <rFont val="宋体"/>
            <charset val="134"/>
          </rPr>
          <t>Niu Jixiang:</t>
        </r>
        <r>
          <rPr>
            <sz val="9"/>
            <rFont val="宋体"/>
            <charset val="134"/>
          </rPr>
          <t xml:space="preserve">
若没有子数据名称，用“/”表示</t>
        </r>
      </text>
    </comment>
    <comment ref="O5" authorId="0">
      <text>
        <r>
          <rPr>
            <b/>
            <sz val="9"/>
            <rFont val="宋体"/>
            <charset val="134"/>
          </rPr>
          <t>Niu Jixiang:</t>
        </r>
        <r>
          <rPr>
            <sz val="9"/>
            <rFont val="宋体"/>
            <charset val="134"/>
          </rPr>
          <t xml:space="preserve">
最小值和最大值填写转换后的DEC值</t>
        </r>
      </text>
    </comment>
    <comment ref="R5" authorId="0">
      <text>
        <r>
          <rPr>
            <b/>
            <sz val="9"/>
            <rFont val="宋体"/>
            <charset val="134"/>
          </rPr>
          <t>Niu Jixiang:</t>
        </r>
        <r>
          <rPr>
            <sz val="9"/>
            <rFont val="宋体"/>
            <charset val="134"/>
          </rPr>
          <t xml:space="preserve">
方法类型参考Legend页</t>
        </r>
      </text>
    </comment>
    <comment ref="X5" authorId="0">
      <text>
        <r>
          <rPr>
            <b/>
            <sz val="9"/>
            <rFont val="宋体"/>
            <charset val="134"/>
          </rPr>
          <t>Niu Jixiang:</t>
        </r>
        <r>
          <rPr>
            <sz val="9"/>
            <rFont val="宋体"/>
            <charset val="134"/>
          </rPr>
          <t xml:space="preserve">
若没有自数据名称，用“/”表示</t>
        </r>
      </text>
    </comment>
    <comment ref="Z5" authorId="0">
      <text>
        <r>
          <rPr>
            <b/>
            <sz val="9"/>
            <rFont val="宋体"/>
            <charset val="134"/>
          </rPr>
          <t>Niu Jixiang:</t>
        </r>
        <r>
          <rPr>
            <sz val="9"/>
            <rFont val="宋体"/>
            <charset val="134"/>
          </rPr>
          <t xml:space="preserve">
最小值和最大值填写转换后的DEC值</t>
        </r>
      </text>
    </comment>
    <comment ref="AC5" authorId="0">
      <text>
        <r>
          <rPr>
            <b/>
            <sz val="9"/>
            <rFont val="宋体"/>
            <charset val="134"/>
          </rPr>
          <t>Niu Jixiang:</t>
        </r>
        <r>
          <rPr>
            <sz val="9"/>
            <rFont val="宋体"/>
            <charset val="134"/>
          </rPr>
          <t xml:space="preserve">
方法类型参考Legend页</t>
        </r>
      </text>
    </comment>
    <comment ref="Q7" authorId="1">
      <text>
        <r>
          <rPr>
            <b/>
            <sz val="9"/>
            <rFont val="宋体"/>
            <charset val="134"/>
          </rPr>
          <t>zhangwenhe:</t>
        </r>
        <r>
          <rPr>
            <sz val="9"/>
            <rFont val="宋体"/>
            <charset val="134"/>
          </rPr>
          <t xml:space="preserve">
请参考相关规范填写</t>
        </r>
      </text>
    </comment>
    <comment ref="T7" authorId="1">
      <text>
        <r>
          <rPr>
            <b/>
            <sz val="9"/>
            <rFont val="宋体"/>
            <charset val="134"/>
          </rPr>
          <t>zhangwenhe:</t>
        </r>
        <r>
          <rPr>
            <sz val="9"/>
            <rFont val="宋体"/>
            <charset val="134"/>
          </rPr>
          <t xml:space="preserve">
仅IJK列为"/"时，T数据类型列可填写"/"</t>
        </r>
      </text>
    </comment>
    <comment ref="AC7" authorId="1">
      <text>
        <r>
          <rPr>
            <b/>
            <sz val="9"/>
            <rFont val="宋体"/>
            <charset val="134"/>
          </rPr>
          <t>zhangwenhe:</t>
        </r>
        <r>
          <rPr>
            <sz val="9"/>
            <rFont val="宋体"/>
            <charset val="134"/>
          </rPr>
          <t xml:space="preserve">
请参考相关规范填写</t>
        </r>
      </text>
    </comment>
  </commentList>
</comments>
</file>

<file path=xl/comments11.xml><?xml version="1.0" encoding="utf-8"?>
<comments xmlns="http://schemas.openxmlformats.org/spreadsheetml/2006/main">
  <authors>
    <author>Niu Jixiang</author>
  </authors>
  <commentList>
    <comment ref="D5" authorId="0">
      <text>
        <r>
          <rPr>
            <b/>
            <sz val="9"/>
            <rFont val="宋体"/>
            <charset val="134"/>
          </rPr>
          <t>Niu Jixiang:</t>
        </r>
        <r>
          <rPr>
            <sz val="9"/>
            <rFont val="宋体"/>
            <charset val="134"/>
          </rPr>
          <t xml:space="preserve">
ECU进行填写，是否支持，只能选择“Y/N”</t>
        </r>
      </text>
    </comment>
  </commentList>
</comments>
</file>

<file path=xl/comments12.xml><?xml version="1.0" encoding="utf-8"?>
<comments xmlns="http://schemas.openxmlformats.org/spreadsheetml/2006/main">
  <authors>
    <author>20171461</author>
    <author>Niu Jixiang</author>
    <author>zhangwenhe</author>
  </authors>
  <commentList>
    <comment ref="N4" authorId="0">
      <text>
        <r>
          <rPr>
            <b/>
            <sz val="9"/>
            <rFont val="宋体"/>
            <charset val="134"/>
          </rPr>
          <t>20171461:</t>
        </r>
        <r>
          <rPr>
            <sz val="9"/>
            <rFont val="宋体"/>
            <charset val="134"/>
          </rPr>
          <t xml:space="preserve">
是否故障灯点亮及对应的故障灯名称</t>
        </r>
      </text>
    </comment>
    <comment ref="O4" authorId="1">
      <text>
        <r>
          <rPr>
            <b/>
            <sz val="9"/>
            <rFont val="宋体"/>
            <charset val="134"/>
          </rPr>
          <t>Niu Jixiang:</t>
        </r>
        <r>
          <rPr>
            <sz val="9"/>
            <rFont val="宋体"/>
            <charset val="134"/>
          </rPr>
          <t xml:space="preserve">
填写故障码诊断使能条件</t>
        </r>
      </text>
    </comment>
    <comment ref="Q4" authorId="1">
      <text>
        <r>
          <rPr>
            <b/>
            <sz val="9"/>
            <rFont val="宋体"/>
            <charset val="134"/>
          </rPr>
          <t>Niu Jixiang:</t>
        </r>
        <r>
          <rPr>
            <sz val="9"/>
            <rFont val="宋体"/>
            <charset val="134"/>
          </rPr>
          <t xml:space="preserve">
填写故障检测周期</t>
        </r>
      </text>
    </comment>
    <comment ref="X4" authorId="1">
      <text>
        <r>
          <rPr>
            <b/>
            <sz val="9"/>
            <rFont val="宋体"/>
            <charset val="134"/>
          </rPr>
          <t>Niu Jixiang:</t>
        </r>
        <r>
          <rPr>
            <sz val="9"/>
            <rFont val="宋体"/>
            <charset val="134"/>
          </rPr>
          <t xml:space="preserve">
填写那些DTC产生时，会抑制该DTC置位
例如：Busoff故障码U0073会抑制通讯故障置位</t>
        </r>
      </text>
    </comment>
    <comment ref="J5" authorId="2">
      <text>
        <r>
          <rPr>
            <b/>
            <sz val="9"/>
            <rFont val="宋体"/>
            <charset val="134"/>
          </rPr>
          <t>zhangwenhe:</t>
        </r>
        <r>
          <rPr>
            <sz val="9"/>
            <rFont val="宋体"/>
            <charset val="134"/>
          </rPr>
          <t xml:space="preserve">
默认从0开始增加，问卷内数据编码保持一致</t>
        </r>
      </text>
    </comment>
  </commentList>
</comments>
</file>

<file path=xl/connections.xml><?xml version="1.0" encoding="utf-8"?>
<connections xmlns="http://schemas.openxmlformats.org/spreadsheetml/2006/main">
  <connection id="1" name="diag note1111111111111" type="6" background="1" refreshedVersion="2" deleted="1" saveData="1">
    <textPr sourceFile="C:\Users\amy.chen\Desktop\diag note.txt" semicolon="1">
      <textFields>
        <textField/>
      </textFields>
    </textPr>
  </connection>
</connections>
</file>

<file path=xl/sharedStrings.xml><?xml version="1.0" encoding="utf-8"?>
<sst xmlns="http://schemas.openxmlformats.org/spreadsheetml/2006/main" count="8396" uniqueCount="1853">
  <si>
    <t>No.
序号</t>
  </si>
  <si>
    <t>Changes Content
更改/影响章节</t>
  </si>
  <si>
    <t>Version
版本</t>
  </si>
  <si>
    <t>Author
作者</t>
  </si>
  <si>
    <t>Revised section
修订章节</t>
  </si>
  <si>
    <t>Date
日期</t>
  </si>
  <si>
    <t>Description
说明</t>
  </si>
  <si>
    <t>诊断调查问卷模板初版</t>
  </si>
  <si>
    <t>V1.0</t>
  </si>
  <si>
    <t>盛昊骏</t>
  </si>
  <si>
    <t>Revision Management
版本管理</t>
  </si>
  <si>
    <r>
      <rPr>
        <b/>
        <sz val="10"/>
        <rFont val="宋体"/>
        <charset val="134"/>
        <scheme val="minor"/>
      </rPr>
      <t xml:space="preserve">Revision
</t>
    </r>
    <r>
      <rPr>
        <b/>
        <sz val="10"/>
        <color indexed="8"/>
        <rFont val="宋体"/>
        <charset val="134"/>
        <scheme val="minor"/>
      </rPr>
      <t>版本</t>
    </r>
  </si>
  <si>
    <r>
      <rPr>
        <b/>
        <sz val="10"/>
        <rFont val="宋体"/>
        <charset val="134"/>
        <scheme val="minor"/>
      </rPr>
      <t xml:space="preserve">Date
</t>
    </r>
    <r>
      <rPr>
        <b/>
        <sz val="10"/>
        <color indexed="8"/>
        <rFont val="宋体"/>
        <charset val="134"/>
        <scheme val="minor"/>
      </rPr>
      <t>日期</t>
    </r>
  </si>
  <si>
    <r>
      <rPr>
        <b/>
        <sz val="10"/>
        <rFont val="宋体"/>
        <charset val="134"/>
        <scheme val="minor"/>
      </rPr>
      <t xml:space="preserve">Author
</t>
    </r>
    <r>
      <rPr>
        <b/>
        <sz val="10"/>
        <color indexed="8"/>
        <rFont val="宋体"/>
        <charset val="134"/>
        <scheme val="minor"/>
      </rPr>
      <t>作者</t>
    </r>
  </si>
  <si>
    <r>
      <rPr>
        <b/>
        <sz val="10"/>
        <rFont val="宋体"/>
        <charset val="134"/>
        <scheme val="minor"/>
      </rPr>
      <t xml:space="preserve">Reviewed by
</t>
    </r>
    <r>
      <rPr>
        <b/>
        <sz val="10"/>
        <color indexed="8"/>
        <rFont val="宋体"/>
        <charset val="134"/>
        <scheme val="minor"/>
      </rPr>
      <t>审核</t>
    </r>
  </si>
  <si>
    <r>
      <rPr>
        <b/>
        <sz val="10"/>
        <rFont val="宋体"/>
        <charset val="134"/>
        <scheme val="minor"/>
      </rPr>
      <t xml:space="preserve">Approved by
</t>
    </r>
    <r>
      <rPr>
        <b/>
        <sz val="10"/>
        <color indexed="8"/>
        <rFont val="宋体"/>
        <charset val="134"/>
        <scheme val="minor"/>
      </rPr>
      <t>批准</t>
    </r>
  </si>
  <si>
    <r>
      <rPr>
        <b/>
        <sz val="10"/>
        <rFont val="宋体"/>
        <charset val="134"/>
        <scheme val="minor"/>
      </rPr>
      <t xml:space="preserve">Changes Comments
</t>
    </r>
    <r>
      <rPr>
        <b/>
        <sz val="10"/>
        <color indexed="8"/>
        <rFont val="宋体"/>
        <charset val="134"/>
        <scheme val="minor"/>
      </rPr>
      <t>修改说明</t>
    </r>
  </si>
  <si>
    <t>1、初版诊断问卷要求下发</t>
  </si>
  <si>
    <t>V1.1</t>
  </si>
  <si>
    <t>1、02.1.ApplicationServices 19 04服务新增0x02，即快照记录的对应快照数量不少于 2 个，至少包含最老产生的故障、最新产生的故障对应的快照
2、02.1.ApplicationServices 19 03服务不支持，删除
3、02.1.ApplicationServices 10 01/10 03服务无NRC22的，将NRC列拆开填写，删去22
4、02.2.BootServices 31 01服务默认模式下支持写
5、01.General 更新了CAN地址</t>
  </si>
  <si>
    <t>V1.2</t>
  </si>
  <si>
    <t>1、01.General 长滑轨模块的软件ID由SSM更改为LSSM
2、02.2.BootServices $36服务中删除NRC13的DLC判断以及备注中的描述(改回客户之前定义的内容)
3、02.1.ApplicationServices 新增备注:在锁定状态下仅支持3101，不支持3102及3103，对应DID为0x0203
4、02.2.BootServices  新增备注:在默认会话下支持31 01 DD 01(stayinboot)
5、04.2.DTC list中Hall的工作范围由0.2~4.8改为0.1~4.9V，去除LDO温度判断</t>
  </si>
  <si>
    <t>V1.3</t>
  </si>
  <si>
    <t>1、02.1.ApplicationServices G8 G9中的13&gt;12&gt;22添加删除线
2、02.1.ApplicationServices G14中将7F加到最前的优先级
3、02.2.BootServices G26中 优先级里的22添加删除线
4、02.1.ApplicationServices G21中 将22加到最后的优先级
5、03.1.System DID中供应商ID更改为HW0039</t>
  </si>
  <si>
    <t>V1.4</t>
  </si>
  <si>
    <t>1、03.1.System DID F197 F089 F187 F18A的储存位置由EEPROM更改为Flash，F0F1 F0F3的储存位置由TBD更改为EEPROM
2、03.5.Routine DID 0x31将6F84定义为双轨自学习
3、04.3.Snapshot&amp;03.2.ECU DID中新增CF00 CF01 CF03 CF0A CF0B
4、04.2.DTC list中高压低压通讯故障的等级从1级更改为3级，高低压的恢复条件持续时间改为3000ms</t>
  </si>
  <si>
    <t>V1.5</t>
  </si>
  <si>
    <t xml:space="preserve">1、03.2.ECU DID 04.3.Snapshot明确的CF0B的具体信息
2、03.4.IOcontrol DID 0x2F方法类型修改为Texttable
3、方法类型中要给出明确的失败原因；0x0203在FBL解锁下更改为N
4、04.2.DTC list VHR供应商映射编码改成一致
5、04.2.DTC list 高压低压通讯故障前提条件增加85 02未被激活
6、03.2.ECU DID 快照信息地址定义为6FFF
7、03.2.ECU DID 新增单轨听音指令6F89
</t>
  </si>
  <si>
    <t>V1.6</t>
  </si>
  <si>
    <t xml:space="preserve">1、03.2.ECU DID中补上一些之前空缺的信息
2、03.5.Routine DID 0x31方法类型失败原因补充完整
3、02.2.BootServices 2E NRC更新7F&gt;33&gt;13&gt;31&gt;13&gt;33&gt;22&gt;31&gt;72
4、03.2.ECU DID 0x6F82 自学习状态 0x6F85 自学习执行 更新
5、03.2.ECU DID 0x0726 删除
</t>
  </si>
  <si>
    <t>V1.7</t>
  </si>
  <si>
    <t>1、补充03.2.ECU DID中原本缺失的每个DID对于22和2E的定义和修正数据类型中的一些笔误</t>
  </si>
  <si>
    <t>V1.8</t>
  </si>
  <si>
    <t>1、03.2.ECU DID中Snapshot和Internal Fault更新
2、04.2.DTC list中过压欠压的判定时间和恢复时间更新</t>
  </si>
  <si>
    <t>V1.9</t>
  </si>
  <si>
    <t>1、02.1.ApplicationServices中2E NRC更新
2、04.2.DTC list中B111717/B111716 判定条件中的时间移到确认时间一列
3、04.2.DTC list中busoff，确认时间填8次
4、04.2.DTC list中增加通讯丢失U021087/U021187
5、03.5.Routine DID 0x31中DD01中生产从N变更为Y</t>
  </si>
  <si>
    <t>V1.10</t>
  </si>
  <si>
    <t>1、03.1.System DID中新增F186
2、03.5.Routine DID 0x31中0203备注更新
3、03.5.Routine DID 0x31中DD01中售后从N变更为Y</t>
  </si>
  <si>
    <t>V2.0</t>
  </si>
  <si>
    <t>2025-6-30</t>
  </si>
  <si>
    <t>1、03.2.ECU DID 0x6F82自学习状态新增03 学习中
2、03.5.Routine DID 0x31中0x0203检查编程条件将0x4从发动机异常改为预留</t>
  </si>
  <si>
    <t>V2.1</t>
  </si>
  <si>
    <t>2025-07-07</t>
  </si>
  <si>
    <t>1、03.2.ECU DID单滑轨听音和快照信息储存位置由EEPROM更改为RAM
2、04.2.DTC list中DTC记录前提条件变更
3、03.1.System DID中F186激活诊断会话的存储位置由EEPROM更改为RAM
4、04.4.ExtendedData增加故障发生计数器</t>
  </si>
  <si>
    <t>V2.2</t>
  </si>
  <si>
    <t>1、03.2.ECU DID页面结构更改，分成适用22的命令，不适用22的命令，OEM不适用的命令
2、03.2.ECU DID中DID码段重新分配
3、04.3.Snapshot更新为DTC和快照的映射关系
4、03.2.ECU DID页面Internal Fault删除Position位</t>
  </si>
  <si>
    <t>V2.3</t>
  </si>
  <si>
    <t>1、03.1.System DID中明确ECU支持F186 
2、03.2.ECU DID中细化CF00-CF08的C/D列描述
3、03.4.IOcontrol DID 0x2F中长滑轨向前向后调节的DID从6F80更改为8205
4、03.5.Routine DID 0x31中双轨自学习的IDI从6F84更改为8206
5、04.2.DTC list DTC Number更改
6、04.3.Snapshot删除DEMO字样</t>
  </si>
  <si>
    <t>V2.4</t>
  </si>
  <si>
    <t>1、04.2.DTC list中Lost Communication with RLSM/RRSM DTC码变更
2、04.2.DTC list中Lost Communication with RLSM/RRSM的28 03未被激活前提条件删除
3、04.2.DTC list中新增Lost Communication with VIU3的DTC
4、04.2.DTC list中Bus-off,Lost Communication with RLSM/RRSM的故障确认时间统一更改为立即（故障判定条件中已标明8次/1000ms）
5、04.2.DTC list中Bus-off描述更新，明确为VIU3_CAN2 Bus Off</t>
  </si>
  <si>
    <t>V2.5</t>
  </si>
  <si>
    <t>1、03.5 03.5.Routine DID 0x31中双轨自学习备注了查询学习成功/失败的方法
2、04.2.DTC list中网络故障DTC检测频率皆改成10ms
3、04.2.DTC list中通信相关故障的预条件由“ECU唤醒后，网络激活后延时1.5s”变更为“IG ON后2s”
4、04.2.DTC list中与VIU3失去通讯的故障判定条件更改</t>
  </si>
  <si>
    <t>V2.6</t>
  </si>
  <si>
    <t xml:space="preserve">1、04.3.Snapshot中添加823F
2、03.5.Routine DID 0x31中0826双轨自学习新增03子服务查询自学习结果，同时在AC AD列补充枚举值
3、04.2.DTC list中U014887中划去不适用的时间周期
4、04.2.DTC list中U021187的AC列备注RSSM更改为LSSM
5、04.2.DTC list中涉及到IG On 2s的条件，标明使用通讯矩阵中“整车电源模式”信号
</t>
  </si>
  <si>
    <t>V2.7</t>
  </si>
  <si>
    <t>1、04.3.Snapshot中添加CF0B（之前误删了）
2、03.5.Routine DID 0x31中8206双轨自学习删除FF
3、04.2.DTC List中与VIU3失去通讯R列故障判定条件中发送的DID更正为3AE
4、03.5.Routine DID 0x31中FF00长度更正位9位,
5、02.1.ApplicationServices中31 03服务将原本删除线去除</t>
  </si>
  <si>
    <t>V2.8</t>
  </si>
  <si>
    <t>1、03.4.IOcontrol DID 0x2F中AC列报文示例笔误修正
2、04.2.DTC list中与RLSM/RRSM失去通讯故障码字节高中低位笔误修正</t>
  </si>
  <si>
    <t>V2.9</t>
  </si>
  <si>
    <t>1、02.1.ApplicationServices中10 02和11 01增加条件：电机处于待机状态
2、03.3.Coding DID中添加旋转座椅配置</t>
  </si>
  <si>
    <t>数据参数定义</t>
  </si>
  <si>
    <r>
      <rPr>
        <sz val="10"/>
        <color theme="1"/>
        <rFont val="宋体"/>
        <charset val="134"/>
        <scheme val="minor"/>
      </rPr>
      <t xml:space="preserve"> 诊断协议中涉及的数据参数（PARAMS)包括两种字节排列顺序,分别为Motorola和Intel,Motorola排列顺序为HighlowByte,Intel排列顺序为LowhighByte,</t>
    </r>
    <r>
      <rPr>
        <b/>
        <sz val="10"/>
        <color theme="1"/>
        <rFont val="宋体"/>
        <charset val="134"/>
        <scheme val="minor"/>
      </rPr>
      <t>本问卷仅采用Motorola排列方式</t>
    </r>
    <r>
      <rPr>
        <sz val="10"/>
        <color theme="1"/>
        <rFont val="宋体"/>
        <charset val="134"/>
        <scheme val="minor"/>
      </rPr>
      <t>。示例如下表,表中B1为位长度为8的信号；B2为位长度为12的信号.</t>
    </r>
    <r>
      <rPr>
        <sz val="10"/>
        <rFont val="宋体"/>
        <charset val="134"/>
        <scheme val="minor"/>
      </rPr>
      <t xml:space="preserve">
</t>
    </r>
  </si>
  <si>
    <t>LAYOUT</t>
  </si>
  <si>
    <t xml:space="preserve">  换行输入方式</t>
  </si>
  <si>
    <t>表中所有换行输入方式必须使用ALT+Enter</t>
  </si>
  <si>
    <t>DataType与 MethodType 描述</t>
  </si>
  <si>
    <t>DataType即数据类型,目前支持：</t>
  </si>
  <si>
    <t>1、ASCII</t>
  </si>
  <si>
    <t>2、Unsigned</t>
  </si>
  <si>
    <t>3、Signed</t>
  </si>
  <si>
    <t xml:space="preserve">4、Texttable </t>
  </si>
  <si>
    <t>5、Bytefield</t>
  </si>
  <si>
    <t>6、Float</t>
  </si>
  <si>
    <t>7、Reserved</t>
  </si>
  <si>
    <t>MethodType即数学运算方式,目前支持：</t>
  </si>
  <si>
    <t>1、(ax+b)/c</t>
  </si>
  <si>
    <t>描述线性关系,可填写： a=2,b=3,c=5,       
默认:a=1,b=0,c=1。</t>
  </si>
  <si>
    <t>2、ByteOrder</t>
  </si>
  <si>
    <t>描述字节序，可填写Motorola或Intel， 
默认： Motorola。</t>
  </si>
  <si>
    <r>
      <rPr>
        <sz val="10"/>
        <rFont val="宋体"/>
        <charset val="134"/>
        <scheme val="minor"/>
      </rPr>
      <t xml:space="preserve">3、Encoding </t>
    </r>
  </si>
  <si>
    <t>描述编码规则，可填写Undefined或BCD， 
默认： Undefined。</t>
  </si>
  <si>
    <t>用于列表形式数据描述。</t>
  </si>
  <si>
    <t>5、Radix</t>
  </si>
  <si>
    <t>描述进制转换，可填写Bin/Dec/Hex/Oct中的一种， 
默认： Dec。</t>
  </si>
  <si>
    <t>6、Precision</t>
  </si>
  <si>
    <t>描述精度，可填写精确到小数点后位数，如P2
（两位小数位）等。</t>
  </si>
  <si>
    <t>7、CodedDataType</t>
  </si>
  <si>
    <t>描述CodedValue数据类型，可填写Unsigned、 Signed或Float，默认：Unsigned</t>
  </si>
  <si>
    <t>MethodType与DateType对应关系如下：</t>
  </si>
  <si>
    <t>DataType</t>
  </si>
  <si>
    <t>MethodType</t>
  </si>
  <si>
    <t>ASCII</t>
  </si>
  <si>
    <t>不可填写MethodType</t>
  </si>
  <si>
    <t>Unsigned</t>
  </si>
  <si>
    <t>支持 (ax+b)/c 型,不可填写Texttable, Precision;ByteOrder, Encoding, Radix, CodedDataType为默认值时无需填写。</t>
  </si>
  <si>
    <t>Signed</t>
  </si>
  <si>
    <t>支持 (ax+b)/c 型,不可填写Encoding, Texttable , Radix, Precision;ByteOrder, CodedDataType为默认值时无需填写。</t>
  </si>
  <si>
    <t xml:space="preserve">Texttable </t>
  </si>
  <si>
    <t>不可填写(ax+b)/c, Encoding, Radix, Precision, CodedDataType;ByteOrder为默认值时无需填写。</t>
  </si>
  <si>
    <t>Bytefield</t>
  </si>
  <si>
    <t>不可填写(ax+b)/c, Texttable, Radix, Precision, CodedDataType;ByteOrder, Encoding为默认值时无需填写。</t>
  </si>
  <si>
    <t>Float</t>
  </si>
  <si>
    <t>支持 (ax+b)/c 型, Precision按照格式填写,不可填写Encoding, Texttable, Radix;ByteOrder, CodedDataType为默认值时无需填写。</t>
  </si>
  <si>
    <t>Reserved</t>
  </si>
  <si>
    <t xml:space="preserve">注：1、DataType中 Bytefield  输入位长度必须为 8 的倍数       </t>
  </si>
  <si>
    <t xml:space="preserve">        2、DataType中 Unsigned 目前支持 最大位长度为 32 位      </t>
  </si>
  <si>
    <t xml:space="preserve">        3、DataType为Float格式，请在公式后输入P*(*符号根据实际要求，如*=3，代表3位有效数)，标识精度。示例如下：</t>
  </si>
  <si>
    <t xml:space="preserve"> Float   </t>
  </si>
  <si>
    <t>a=0.001,b=0,c=1
P3</t>
  </si>
  <si>
    <t>Diagnostic Quetionary\Definition - Document Structure
诊断问卷\定义 - 文档结构</t>
  </si>
  <si>
    <t>Item
序号</t>
  </si>
  <si>
    <t>Contents 
目录</t>
  </si>
  <si>
    <t>Sub Contents
子目录</t>
  </si>
  <si>
    <t>Remarks
说明</t>
  </si>
  <si>
    <t>Diagnostic Questionary\Definition - RevisionRecords
诊断问卷\定义 - 修订记录</t>
  </si>
  <si>
    <t>NA</t>
  </si>
  <si>
    <t>Filled by HUAWEI
只能由华为负责填写</t>
  </si>
  <si>
    <t>Diagnostic Questionary\Definition - RevisionManagement
诊断问卷\定义 - 版本管理</t>
  </si>
  <si>
    <t>Diagnostic Questionary\Definition - Legend
诊断问卷\定义 - 版本管理</t>
  </si>
  <si>
    <t>Diagnostic Questionary\Definition -DocumentStructure
诊断问卷\定义 - 文档结构</t>
  </si>
  <si>
    <t>No need to fill, for reference
无需填写，用于调查表填写要求参考</t>
  </si>
  <si>
    <t>Diagnostic Questionary\Definition 00 - Cover
诊断问卷\定义 00 - 封面</t>
  </si>
  <si>
    <t>Filled by HUAWEI
只能由华为负责填写（相应诊断定义版本批准后方可生效）</t>
  </si>
  <si>
    <t>Diagnostic Questionary\Definition 01 - Timing Parameter 
诊断问卷\定义 01 - 定时参数</t>
  </si>
  <si>
    <t>01.General</t>
  </si>
  <si>
    <t>Filled by HUAWEI and supplier
由华为和供应商联合填写</t>
  </si>
  <si>
    <t>Diagnostic Questionary\Definition 02 - Diagnostic Services 
诊断问卷\定义 02 - 诊断服务</t>
  </si>
  <si>
    <t>02.1.ApplicationServices</t>
  </si>
  <si>
    <t xml:space="preserve">02.2.BootServices </t>
  </si>
  <si>
    <t>Filled by supplier
由供应商填写</t>
  </si>
  <si>
    <t>02.3.CommunicationControlServices</t>
  </si>
  <si>
    <t>Diagnostic Questionary\Definition 03 - DID/RID
诊断问卷\定义 03 - 数据标识符</t>
  </si>
  <si>
    <t>03.1.System DID</t>
  </si>
  <si>
    <t>03.2.ECU DID</t>
  </si>
  <si>
    <t>03.3.Coding DID</t>
  </si>
  <si>
    <t>03.4.IOcontrol DID 0x2F</t>
  </si>
  <si>
    <t>03.5.Routine DID 0x31</t>
  </si>
  <si>
    <t>Diagnostic Questionary\Definition 04 - DTC
诊断问卷\定义 04 - 诊断故障代码</t>
  </si>
  <si>
    <t>04.1.GroupOfDTC</t>
  </si>
  <si>
    <t>04.2.DTC list</t>
  </si>
  <si>
    <t>04.3.Snapshot</t>
  </si>
  <si>
    <t>04.4.ExtendedData</t>
  </si>
  <si>
    <t>Diagnostic Definition 05 - Terms
诊断问卷\定义 05 - 术语</t>
  </si>
  <si>
    <t>05.Terms</t>
  </si>
  <si>
    <t>No need to fill, for reference
无需填写，用以参考</t>
  </si>
  <si>
    <t>ECU name
ECU名称</t>
  </si>
  <si>
    <t>Confidentiality
密级</t>
  </si>
  <si>
    <t>内部公开</t>
  </si>
  <si>
    <t>ECU version
ECU版本</t>
  </si>
  <si>
    <t>SOP
量产阶段</t>
  </si>
  <si>
    <t>项目代码
ECU版本</t>
  </si>
  <si>
    <t>Template version
模板版本</t>
  </si>
  <si>
    <t>X6M项目xxx控制器诊断调查问卷规范</t>
  </si>
  <si>
    <t>Prepared by</t>
  </si>
  <si>
    <t>Date</t>
  </si>
  <si>
    <t>拟制</t>
  </si>
  <si>
    <t>日期</t>
  </si>
  <si>
    <t>Reviewed by</t>
  </si>
  <si>
    <t>评审人</t>
  </si>
  <si>
    <t>Approved by</t>
  </si>
  <si>
    <t>批准</t>
  </si>
  <si>
    <t>Authorized by</t>
  </si>
  <si>
    <t>签发</t>
  </si>
  <si>
    <t xml:space="preserve">Huawei Technologies Co., Ltd. </t>
  </si>
  <si>
    <t>华为技术有限公司</t>
  </si>
  <si>
    <t>All rights reserved</t>
  </si>
  <si>
    <t>版权所有  侵权必究</t>
  </si>
  <si>
    <t>填写要求：
1. ECU的CAN ID，由ECU进行填写；
2. ECU的逻辑地址和IP地址，由部件ECU负责填写</t>
  </si>
  <si>
    <t>General information</t>
  </si>
  <si>
    <t>备注</t>
  </si>
  <si>
    <t>ECU-Name</t>
  </si>
  <si>
    <t>ECU</t>
  </si>
  <si>
    <t>Supplier ID</t>
  </si>
  <si>
    <t>type here ECU Supplier ID</t>
  </si>
  <si>
    <t>Protocol</t>
  </si>
  <si>
    <t>DoCAN</t>
  </si>
  <si>
    <t>CAN Channel</t>
  </si>
  <si>
    <t>CAN1</t>
  </si>
  <si>
    <t>CAN Baudrate</t>
  </si>
  <si>
    <t>CANFD Baudrate</t>
  </si>
  <si>
    <t>CAN ID Format</t>
  </si>
  <si>
    <t>11bit</t>
  </si>
  <si>
    <t>Addressing method</t>
  </si>
  <si>
    <t>Normal</t>
  </si>
  <si>
    <t>CAN DLC</t>
  </si>
  <si>
    <t>TX_DL=8 Classic CAN</t>
  </si>
  <si>
    <t>CAN Functional Request ID</t>
  </si>
  <si>
    <t>0x7DF</t>
  </si>
  <si>
    <t>CAN Physical Request ID</t>
  </si>
  <si>
    <t>LSSM_RL1:0x663 LSSM_RL2:0x664 LSSM_RR1:0x665 LSSM_RR2:0x666</t>
  </si>
  <si>
    <t>CAN Response ID</t>
  </si>
  <si>
    <t>LSSM_RL1:0x66B LSSM_RL2:0x66C LSSM_RR1:0x66D LSSM_RR2:0x66E</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</si>
  <si>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</si>
  <si>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</si>
  <si>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</si>
  <si>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</si>
  <si>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</si>
  <si>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</si>
  <si>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</si>
  <si>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</si>
  <si>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</si>
  <si>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</si>
  <si>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</si>
  <si>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</si>
  <si>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</si>
  <si>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</si>
  <si>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</si>
  <si>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</si>
  <si>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</si>
  <si>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</si>
  <si>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</si>
  <si>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</si>
  <si>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</si>
  <si>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Functional Address</t>
  </si>
  <si>
    <t>0xE400</t>
  </si>
  <si>
    <t>DoIP Logical Tester Address</t>
  </si>
  <si>
    <t>0x0E80,0x0E81</t>
  </si>
  <si>
    <t>DoIP Tester IP Address</t>
  </si>
  <si>
    <t>192.168.69.71</t>
  </si>
  <si>
    <t>DoIP Logical Gateway Address</t>
  </si>
  <si>
    <t>0x0006</t>
  </si>
  <si>
    <t>DoIP Gateway IP Address</t>
  </si>
  <si>
    <t>192.168.72.8</t>
  </si>
  <si>
    <t>DoIP Logical ECU IP Address</t>
  </si>
  <si>
    <t>&lt;TBD&gt;</t>
  </si>
  <si>
    <t>DoIP Logical ECU Address</t>
  </si>
  <si>
    <t>P6</t>
  </si>
  <si>
    <t>P6*</t>
  </si>
  <si>
    <t>UDS Spec Version</t>
  </si>
  <si>
    <t>ISO 14229-1:2020-02</t>
  </si>
  <si>
    <t>Document Version</t>
  </si>
  <si>
    <t>3</t>
  </si>
  <si>
    <t>ODX File identifier(0xF19E)</t>
  </si>
  <si>
    <t>lastChange</t>
  </si>
  <si>
    <t>changed by</t>
  </si>
  <si>
    <t>Name</t>
  </si>
  <si>
    <t>&lt;Add List of referenced documents)</t>
  </si>
  <si>
    <t>#EndOfData</t>
  </si>
  <si>
    <t>填写要求：
1、本页灰色部分不能删减，若部件ECU的支持情况如有差异，请将差异项用黄色背景标注；
2、空白的单元格请使用“/”进行填充</t>
  </si>
  <si>
    <t>Diagnostic Services  
诊断服务</t>
  </si>
  <si>
    <t>Diagnostic Service
诊断服务信息</t>
  </si>
  <si>
    <t>Negative response codes
负响应代码</t>
  </si>
  <si>
    <t>SPRMIB
抑制位</t>
  </si>
  <si>
    <t>Addressing
寻址方式</t>
  </si>
  <si>
    <t>Supported Session 
支持的会话模式</t>
  </si>
  <si>
    <t>Security Access Level
安全访问等级</t>
  </si>
  <si>
    <t>Comments
备注</t>
  </si>
  <si>
    <t>Service ID
服务标识符</t>
  </si>
  <si>
    <t>Service Name
服务名称</t>
  </si>
  <si>
    <t>Subfunction 
服务子功能</t>
  </si>
  <si>
    <t>Subfunction Name
服务子功能名称</t>
  </si>
  <si>
    <t>CVT
约定值</t>
  </si>
  <si>
    <t>Supported by ECU
ECU是否支持</t>
  </si>
  <si>
    <t xml:space="preserve">NRC (HEX)
负响应代码（HEX） </t>
  </si>
  <si>
    <t>NRC22 Special Description
NRC22 专有描述</t>
  </si>
  <si>
    <t>Physical
物理寻址</t>
  </si>
  <si>
    <t>Functional
功能寻址</t>
  </si>
  <si>
    <t>0x01
默认模式</t>
  </si>
  <si>
    <t>0x03
扩展模式</t>
  </si>
  <si>
    <t xml:space="preserve">Locked
锁定
</t>
  </si>
  <si>
    <t>Level1
1级解锁</t>
  </si>
  <si>
    <t>0x10</t>
  </si>
  <si>
    <t>DiagnosticSessionControl
诊断会话控制</t>
  </si>
  <si>
    <t>0x01</t>
  </si>
  <si>
    <t>defaultSession
默认模式</t>
  </si>
  <si>
    <t>M</t>
  </si>
  <si>
    <t>Y</t>
  </si>
  <si>
    <r>
      <rPr>
        <strike/>
        <sz val="10"/>
        <rFont val="Microsoft YaHei Light"/>
        <charset val="134"/>
      </rPr>
      <t>13&gt;12&gt;22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r>
      <rPr>
        <sz val="10"/>
        <rFont val="Microsoft YaHei Light"/>
        <charset val="134"/>
      </rPr>
      <t>&gt;</t>
    </r>
    <r>
      <rPr>
        <sz val="10"/>
        <color rgb="FFFF0000"/>
        <rFont val="Microsoft YaHei Light"/>
        <charset val="134"/>
      </rPr>
      <t>7E</t>
    </r>
    <r>
      <rPr>
        <sz val="10"/>
        <rFont val="Microsoft YaHei Light"/>
        <charset val="134"/>
      </rPr>
      <t>&gt;</t>
    </r>
    <r>
      <rPr>
        <strike/>
        <sz val="10"/>
        <rFont val="Microsoft YaHei Light"/>
        <charset val="134"/>
      </rPr>
      <t>22</t>
    </r>
  </si>
  <si>
    <t>0x02</t>
  </si>
  <si>
    <t>programmingSession
编程模式</t>
  </si>
  <si>
    <r>
      <rPr>
        <strike/>
        <sz val="10"/>
        <rFont val="Microsoft YaHei Light"/>
        <charset val="134"/>
      </rPr>
      <t>13&gt;12&gt;22</t>
    </r>
    <r>
      <rPr>
        <sz val="10"/>
        <rFont val="Microsoft YaHei Light"/>
        <charset val="134"/>
      </rPr>
      <t xml:space="preserve">
13(DLC&lt;2)&gt;12&gt;13&gt;7E&gt;22</t>
    </r>
  </si>
  <si>
    <t>1.OTA=Updating || “OTA!=Update &amp;&amp; Speed&gt;3kph 车速&gt;3kph ”                           &amp;&amp;
2.ECU 电压在正常范围   &amp;&amp;
3.预编程指令成功执行
4.电机处于待机状态</t>
  </si>
  <si>
    <t>N</t>
  </si>
  <si>
    <t>0x03</t>
  </si>
  <si>
    <t>extendedDiagnosticSession
扩展模式</t>
  </si>
  <si>
    <r>
      <rPr>
        <strike/>
        <sz val="10"/>
        <rFont val="Microsoft YaHei Light"/>
        <charset val="134"/>
      </rPr>
      <t>13&gt;12&gt;22</t>
    </r>
    <r>
      <rPr>
        <sz val="10"/>
        <rFont val="Microsoft YaHei Light"/>
        <charset val="134"/>
      </rPr>
      <t xml:space="preserve">
13(DLC&lt;2)&gt;12&gt;13&gt;7E&gt;</t>
    </r>
    <r>
      <rPr>
        <strike/>
        <sz val="10"/>
        <rFont val="Microsoft YaHei Light"/>
        <charset val="134"/>
      </rPr>
      <t>22</t>
    </r>
  </si>
  <si>
    <t>0x11</t>
  </si>
  <si>
    <t>ECUReset
ECU复位</t>
  </si>
  <si>
    <t>hardReset
硬件复位</t>
  </si>
  <si>
    <r>
      <rPr>
        <strike/>
        <sz val="10"/>
        <rFont val="Microsoft YaHei Light"/>
        <charset val="134"/>
      </rPr>
      <t>13&gt;12&gt;22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r>
      <rPr>
        <sz val="10"/>
        <rFont val="Microsoft YaHei Light"/>
        <charset val="134"/>
      </rPr>
      <t>&gt;22</t>
    </r>
  </si>
  <si>
    <t>1. Speed&gt;3kph   车速&gt;3kph
2. 电机处于待机状态</t>
  </si>
  <si>
    <t>keyOffOnReset
开关键复位</t>
  </si>
  <si>
    <t>U</t>
  </si>
  <si>
    <t>softReset
软件复位</t>
  </si>
  <si>
    <t>0x27</t>
  </si>
  <si>
    <t>SecurityAccess
安全访问</t>
  </si>
  <si>
    <t>RequestSeed
请求种子</t>
  </si>
  <si>
    <r>
      <rPr>
        <strike/>
        <sz val="10"/>
        <rFont val="Microsoft YaHei Light"/>
        <charset val="134"/>
      </rPr>
      <t>13&gt;12&gt;</t>
    </r>
    <r>
      <rPr>
        <strike/>
        <sz val="10"/>
        <color rgb="FFFF0000"/>
        <rFont val="Microsoft YaHei Light"/>
        <charset val="134"/>
      </rPr>
      <t>33</t>
    </r>
    <r>
      <rPr>
        <strike/>
        <sz val="10"/>
        <rFont val="Microsoft YaHei Light"/>
        <charset val="134"/>
      </rPr>
      <t>&gt;37&gt;36&gt;</t>
    </r>
    <r>
      <rPr>
        <strike/>
        <sz val="10"/>
        <color rgb="FFFF0000"/>
        <rFont val="Microsoft YaHei Light"/>
        <charset val="134"/>
      </rPr>
      <t>22</t>
    </r>
    <r>
      <rPr>
        <sz val="10"/>
        <rFont val="Microsoft YaHei Light"/>
        <charset val="134"/>
      </rPr>
      <t xml:space="preserve">
</t>
    </r>
    <r>
      <rPr>
        <strike/>
        <sz val="10"/>
        <color rgb="FFFF0000"/>
        <rFont val="Microsoft YaHei Light"/>
        <charset val="134"/>
      </rPr>
      <t>13(DLC&lt;2)&gt;7F&gt;</t>
    </r>
    <r>
      <rPr>
        <strike/>
        <sz val="10"/>
        <rFont val="Microsoft YaHei Light"/>
        <charset val="134"/>
      </rPr>
      <t>12&gt;</t>
    </r>
    <r>
      <rPr>
        <strike/>
        <sz val="10"/>
        <color rgb="FFFF0000"/>
        <rFont val="Microsoft YaHei Light"/>
        <charset val="134"/>
      </rPr>
      <t>13</t>
    </r>
    <r>
      <rPr>
        <strike/>
        <sz val="10"/>
        <rFont val="Microsoft YaHei Light"/>
        <charset val="134"/>
      </rPr>
      <t>&gt;37&gt;36</t>
    </r>
    <r>
      <rPr>
        <sz val="10"/>
        <rFont val="Microsoft YaHei Light"/>
        <charset val="134"/>
      </rPr>
      <t xml:space="preserve">
7F&gt;13(DLC&lt;2)&gt;12&gt;13&gt;37&gt;36</t>
    </r>
  </si>
  <si>
    <t>SendKey
发送秘钥</t>
  </si>
  <si>
    <r>
      <rPr>
        <strike/>
        <sz val="10"/>
        <rFont val="Microsoft YaHei Light"/>
        <charset val="134"/>
      </rPr>
      <t>13&gt;12&gt;</t>
    </r>
    <r>
      <rPr>
        <strike/>
        <sz val="10"/>
        <color rgb="FFFF0000"/>
        <rFont val="Microsoft YaHei Light"/>
        <charset val="134"/>
      </rPr>
      <t>33</t>
    </r>
    <r>
      <rPr>
        <strike/>
        <sz val="10"/>
        <rFont val="Microsoft YaHei Light"/>
        <charset val="134"/>
      </rPr>
      <t>&gt;24&gt;35&gt;36&gt;22</t>
    </r>
    <r>
      <rPr>
        <sz val="10"/>
        <rFont val="Microsoft YaHei Light"/>
        <charset val="134"/>
      </rPr>
      <t xml:space="preserve">
</t>
    </r>
    <r>
      <rPr>
        <sz val="10"/>
        <color rgb="FFFF0000"/>
        <rFont val="Microsoft YaHei Light"/>
        <charset val="134"/>
      </rPr>
      <t>7F&gt;13(DLC&lt;2)&gt;7F</t>
    </r>
    <r>
      <rPr>
        <sz val="10"/>
        <rFont val="Microsoft YaHei Light"/>
        <charset val="134"/>
      </rPr>
      <t>&gt;12&gt;</t>
    </r>
    <r>
      <rPr>
        <sz val="10"/>
        <color rgb="FFFF0000"/>
        <rFont val="Microsoft YaHei Light"/>
        <charset val="134"/>
      </rPr>
      <t>13</t>
    </r>
    <r>
      <rPr>
        <sz val="10"/>
        <rFont val="Microsoft YaHei Light"/>
        <charset val="134"/>
      </rPr>
      <t>&gt;24&gt;35&gt;36</t>
    </r>
  </si>
  <si>
    <t>13&gt;12&gt;33&gt;37&gt;36&gt;22</t>
  </si>
  <si>
    <t>Speed&gt;3kph   车速&gt;3kph</t>
  </si>
  <si>
    <t>LevelFBL安全访问用，编程会话</t>
  </si>
  <si>
    <t>0x12</t>
  </si>
  <si>
    <t>13&gt;12&gt;33&gt;24&gt;35&gt;36&gt;22</t>
  </si>
  <si>
    <t>0x28</t>
  </si>
  <si>
    <t>CommunicationControl
通信控制</t>
  </si>
  <si>
    <t>0x00</t>
  </si>
  <si>
    <t>enableRxAndTx
使能接收和发送</t>
  </si>
  <si>
    <r>
      <rPr>
        <strike/>
        <sz val="10"/>
        <rFont val="Microsoft YaHei Light"/>
        <charset val="134"/>
      </rPr>
      <t>13&gt;12&gt;31&gt;22</t>
    </r>
    <r>
      <rPr>
        <sz val="10"/>
        <rFont val="Microsoft YaHei Light"/>
        <charset val="134"/>
      </rPr>
      <t xml:space="preserve">
</t>
    </r>
    <r>
      <rPr>
        <strike/>
        <sz val="10"/>
        <color rgb="FFFF0000"/>
        <rFont val="Microsoft YaHei Light"/>
        <charset val="134"/>
      </rPr>
      <t>13(DLC&lt;2)</t>
    </r>
    <r>
      <rPr>
        <strike/>
        <sz val="10"/>
        <rFont val="Microsoft YaHei Light"/>
        <charset val="134"/>
      </rPr>
      <t>&gt;</t>
    </r>
    <r>
      <rPr>
        <strike/>
        <sz val="10"/>
        <color rgb="FFFF0000"/>
        <rFont val="Microsoft YaHei Light"/>
        <charset val="134"/>
      </rPr>
      <t>7F</t>
    </r>
    <r>
      <rPr>
        <strike/>
        <sz val="10"/>
        <rFont val="Microsoft YaHei Light"/>
        <charset val="134"/>
      </rPr>
      <t>&gt;12&gt;</t>
    </r>
    <r>
      <rPr>
        <strike/>
        <sz val="10"/>
        <color rgb="FFFF0000"/>
        <rFont val="Microsoft YaHei Light"/>
        <charset val="134"/>
      </rPr>
      <t>13</t>
    </r>
    <r>
      <rPr>
        <strike/>
        <sz val="10"/>
        <rFont val="Microsoft YaHei Light"/>
        <charset val="134"/>
      </rPr>
      <t>&gt;31&gt;22</t>
    </r>
    <r>
      <rPr>
        <sz val="10"/>
        <rFont val="Microsoft YaHei Light"/>
        <charset val="134"/>
      </rPr>
      <t xml:space="preserve">
7F&gt;13(DLC&lt;2)&gt;12&gt;13&gt;31&gt;22</t>
    </r>
  </si>
  <si>
    <t>CommunicationType 支持 01/02/03</t>
  </si>
  <si>
    <t xml:space="preserve">enableRxAndDisableTx
使能接收且禁止发送 </t>
  </si>
  <si>
    <t>disableRxAndEnableTx
禁止接收且使能发送</t>
  </si>
  <si>
    <t>disableRxAndTx
禁止接收和发送</t>
  </si>
  <si>
    <t>0x85</t>
  </si>
  <si>
    <t>ControlDTCSetting
控制DTC设置</t>
  </si>
  <si>
    <t>On
打开 DTC</t>
  </si>
  <si>
    <r>
      <rPr>
        <strike/>
        <sz val="10"/>
        <rFont val="Microsoft YaHei Light"/>
        <charset val="134"/>
      </rPr>
      <t>13&gt;12&gt;</t>
    </r>
    <r>
      <rPr>
        <strike/>
        <sz val="10"/>
        <color rgb="FFFF0000"/>
        <rFont val="Microsoft YaHei Light"/>
        <charset val="134"/>
      </rPr>
      <t>22</t>
    </r>
    <r>
      <rPr>
        <sz val="10"/>
        <rFont val="Microsoft YaHei Light"/>
        <charset val="134"/>
      </rPr>
      <t xml:space="preserve">
</t>
    </r>
    <r>
      <rPr>
        <strike/>
        <sz val="10"/>
        <color rgb="FFFF0000"/>
        <rFont val="Microsoft YaHei Light"/>
        <charset val="134"/>
      </rPr>
      <t>13(DLC&lt;2)&gt;7F</t>
    </r>
    <r>
      <rPr>
        <strike/>
        <sz val="10"/>
        <rFont val="Microsoft YaHei Light"/>
        <charset val="134"/>
      </rPr>
      <t>&gt;12&gt;</t>
    </r>
    <r>
      <rPr>
        <strike/>
        <sz val="10"/>
        <color rgb="FFFF0000"/>
        <rFont val="Microsoft YaHei Light"/>
        <charset val="134"/>
      </rPr>
      <t>13</t>
    </r>
    <r>
      <rPr>
        <strike/>
        <sz val="10"/>
        <rFont val="Microsoft YaHei Light"/>
        <charset val="134"/>
      </rPr>
      <t xml:space="preserve">
</t>
    </r>
    <r>
      <rPr>
        <sz val="10"/>
        <rFont val="Microsoft YaHei Light"/>
        <charset val="134"/>
      </rPr>
      <t>7F&gt;13(DLC&lt;2)&gt;12&gt;13</t>
    </r>
    <r>
      <rPr>
        <sz val="10"/>
        <color rgb="FFFF0000"/>
        <rFont val="Microsoft YaHei Light"/>
        <charset val="134"/>
      </rPr>
      <t>&gt;22</t>
    </r>
  </si>
  <si>
    <t>Off
关闭 DTC</t>
  </si>
  <si>
    <t>0x3E</t>
  </si>
  <si>
    <t>TesterPresent
诊断设备在线</t>
  </si>
  <si>
    <t>ZeroSubFunction
Zero子功能</t>
  </si>
  <si>
    <r>
      <rPr>
        <strike/>
        <sz val="10"/>
        <rFont val="Microsoft YaHei Light"/>
        <charset val="134"/>
      </rPr>
      <t>13&gt;12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</si>
  <si>
    <t>0x22</t>
  </si>
  <si>
    <t>ReadDataByIdentifier
读取数据</t>
  </si>
  <si>
    <r>
      <rPr>
        <strike/>
        <sz val="10"/>
        <rFont val="Microsoft YaHei Light"/>
        <charset val="134"/>
      </rPr>
      <t>13&gt;31&gt;</t>
    </r>
    <r>
      <rPr>
        <strike/>
        <sz val="10"/>
        <color rgb="FFFF0000"/>
        <rFont val="Microsoft YaHei Light"/>
        <charset val="134"/>
      </rPr>
      <t>33</t>
    </r>
    <r>
      <rPr>
        <strike/>
        <sz val="10"/>
        <rFont val="Microsoft YaHei Light"/>
        <charset val="134"/>
      </rPr>
      <t>&gt;</t>
    </r>
    <r>
      <rPr>
        <strike/>
        <sz val="10"/>
        <color rgb="FFFF0000"/>
        <rFont val="Microsoft YaHei Light"/>
        <charset val="134"/>
      </rPr>
      <t>22</t>
    </r>
    <r>
      <rPr>
        <strike/>
        <sz val="10"/>
        <rFont val="Microsoft YaHei Light"/>
        <charset val="134"/>
      </rPr>
      <t>&gt;</t>
    </r>
    <r>
      <rPr>
        <strike/>
        <sz val="10"/>
        <color rgb="FFFF0000"/>
        <rFont val="Microsoft YaHei Light"/>
        <charset val="134"/>
      </rPr>
      <t>14</t>
    </r>
    <r>
      <rPr>
        <sz val="10"/>
        <color rgb="FFFF0000"/>
        <rFont val="Microsoft YaHei Light"/>
        <charset val="134"/>
      </rPr>
      <t xml:space="preserve">
</t>
    </r>
    <r>
      <rPr>
        <sz val="10"/>
        <rFont val="Microsoft YaHei Light"/>
        <charset val="134"/>
      </rPr>
      <t>13&gt;31</t>
    </r>
  </si>
  <si>
    <t>0x2E</t>
  </si>
  <si>
    <t>WriteDataByIdentifier
写入数据</t>
  </si>
  <si>
    <t>7F&gt;33&gt;13&gt;31&gt;13&gt;33&gt;22&gt;31&gt;72</t>
  </si>
  <si>
    <t>0x14</t>
  </si>
  <si>
    <t>ClearDiagnosticInformation
清除诊断信息</t>
  </si>
  <si>
    <t>13&gt;31&gt;72</t>
  </si>
  <si>
    <t>GroupOfDTC 只支持 FFFFFF</t>
  </si>
  <si>
    <t>0x19</t>
  </si>
  <si>
    <t>ReadDTCInformation
读取DTC信息</t>
  </si>
  <si>
    <t>reportNumberOfDTCByStatusMask
通过状态掩码报告 DTC 数目</t>
  </si>
  <si>
    <r>
      <rPr>
        <sz val="10"/>
        <rFont val="Microsoft YaHei Light"/>
        <charset val="134"/>
      </rPr>
      <t xml:space="preserve">13&gt;12&gt;31
</t>
    </r>
    <r>
      <rPr>
        <sz val="10"/>
        <color rgb="FFFF0000"/>
        <rFont val="Microsoft YaHei Light"/>
        <charset val="134"/>
      </rPr>
      <t>13(DLC&lt;2)</t>
    </r>
    <r>
      <rPr>
        <sz val="10"/>
        <rFont val="Microsoft YaHei Light"/>
        <charset val="134"/>
      </rPr>
      <t>&gt;12&gt;</t>
    </r>
    <r>
      <rPr>
        <sz val="10"/>
        <color rgb="FFFF0000"/>
        <rFont val="Microsoft YaHei Light"/>
        <charset val="134"/>
      </rPr>
      <t>13</t>
    </r>
    <r>
      <rPr>
        <sz val="10"/>
        <rFont val="Microsoft YaHei Light"/>
        <charset val="134"/>
      </rPr>
      <t>&gt;31</t>
    </r>
  </si>
  <si>
    <t>reportDTCByStatusMask
通过状态掩码报告 DTC</t>
  </si>
  <si>
    <t>reportDTCSnapshotIdentification
报告 DTC 快照记录快照记录编号</t>
  </si>
  <si>
    <t>0x04</t>
  </si>
  <si>
    <t>reportDTCSnapshotRecordByDTCNumber
通过 DTC 码报告 DTCSnapshot 记录</t>
  </si>
  <si>
    <t>19 04第6个字节发0x01或者0x02或者0xFF</t>
  </si>
  <si>
    <t>0x05</t>
  </si>
  <si>
    <t>reportDTCStoredDataByRecordNumber
通过记录号报告 DTC 储存数据</t>
  </si>
  <si>
    <t>0x06</t>
  </si>
  <si>
    <t>reportDTCExtendedDataRecordByDTCNumber
通过 DTC 码报告 DTC 扩展数据记录</t>
  </si>
  <si>
    <t>0x0A</t>
  </si>
  <si>
    <t>reportSupportedDTC
报告支持的 DTC</t>
  </si>
  <si>
    <t>0x29</t>
  </si>
  <si>
    <t>Authentication
安全认证</t>
  </si>
  <si>
    <t>deAuthenticate</t>
  </si>
  <si>
    <t>13&gt;12&gt;24&gt;22</t>
  </si>
  <si>
    <t>verifyCertificateUnidirectional</t>
  </si>
  <si>
    <t>proofOfOwnership</t>
  </si>
  <si>
    <t>transmitCertificate</t>
  </si>
  <si>
    <t>0x2F</t>
  </si>
  <si>
    <t xml:space="preserve">InputOutputControlByIdentifier
输入输出控制
</t>
  </si>
  <si>
    <t>returnControlToECU</t>
  </si>
  <si>
    <t>7F&gt;13&gt;31&gt;33&gt;22</t>
  </si>
  <si>
    <t>resetToDefault</t>
  </si>
  <si>
    <t>freezeCurrentState</t>
  </si>
  <si>
    <t>shortTermAdjustment</t>
  </si>
  <si>
    <t>0x31</t>
  </si>
  <si>
    <t>RoutineControl
例程控制</t>
  </si>
  <si>
    <t>StartRoutine
启动例程</t>
  </si>
  <si>
    <t>7F&gt;13&gt;31&gt;33&gt;12&gt;22&gt;72</t>
  </si>
  <si>
    <r>
      <rPr>
        <sz val="10"/>
        <rFont val="Microsoft YaHei Light"/>
        <charset val="134"/>
      </rPr>
      <t xml:space="preserve">部分DID 需要解密
</t>
    </r>
    <r>
      <rPr>
        <sz val="10"/>
        <color rgb="FFFF0000"/>
        <rFont val="Microsoft YaHei Light"/>
        <charset val="134"/>
      </rPr>
      <t>在锁定状态下仅支持3101，不支持3102及3103，对应DID为0x0203</t>
    </r>
  </si>
  <si>
    <t>stopRoutine
停止例程</t>
  </si>
  <si>
    <t>RequestRoutineResults
例程结果查询</t>
  </si>
  <si>
    <t>0x34</t>
  </si>
  <si>
    <t>RequestDownLoad
请求下载</t>
  </si>
  <si>
    <t>13&gt;31&gt;33&gt;22&gt;70</t>
  </si>
  <si>
    <t>0x35</t>
  </si>
  <si>
    <t>RequestUpload
数据传输（上传）</t>
  </si>
  <si>
    <t>0x36</t>
  </si>
  <si>
    <t>TransferData
传输数据</t>
  </si>
  <si>
    <t>13&gt;24&gt;71&gt;73&gt;31&gt;72&gt;92&gt;93</t>
  </si>
  <si>
    <t>0x37</t>
  </si>
  <si>
    <t>RequestTransferExit
请求传输退出</t>
  </si>
  <si>
    <t>24&gt;13&gt;72</t>
  </si>
  <si>
    <t>0x38</t>
  </si>
  <si>
    <t>RequestFileTransfer
请求文件传输</t>
  </si>
  <si>
    <t>AddFile
增加文件</t>
  </si>
  <si>
    <t>DeleteFile
删除文件</t>
  </si>
  <si>
    <t>ReplaceFile
替换文件</t>
  </si>
  <si>
    <t>ReadFile
读取文件</t>
  </si>
  <si>
    <t>ReadDir
读取目录</t>
  </si>
  <si>
    <t>序号</t>
  </si>
  <si>
    <t>功能项</t>
  </si>
  <si>
    <t>时间</t>
  </si>
  <si>
    <t>诊断工程师</t>
  </si>
  <si>
    <t>DRE</t>
  </si>
  <si>
    <t>供应商工程师</t>
  </si>
  <si>
    <t>零部件DRE是否确认</t>
  </si>
  <si>
    <t>1</t>
  </si>
  <si>
    <t>Service and Subfunction</t>
  </si>
  <si>
    <t>李冬丽</t>
  </si>
  <si>
    <t>2</t>
  </si>
  <si>
    <t>NRC</t>
  </si>
  <si>
    <t>NRC22 专有描述</t>
  </si>
  <si>
    <t>4</t>
  </si>
  <si>
    <t>寻址方式</t>
  </si>
  <si>
    <t>5</t>
  </si>
  <si>
    <t>支持的会话模式</t>
  </si>
  <si>
    <t>6</t>
  </si>
  <si>
    <t>安全访问等级</t>
  </si>
  <si>
    <t>填写要求：
1.本页灰色部分不能删减，若部件ECU的支持情况如有差异，请将差异项用黄色背景标注；
2.空白的单元格请使用“/”进行填充；如果ECU不支持Bootloader，在右侧单元格内填写“N”</t>
  </si>
  <si>
    <t>ECU是否支持Bootloader（Y/N）</t>
  </si>
  <si>
    <t>0x02
编程模式</t>
  </si>
  <si>
    <t>LevelFBL
FBL解锁</t>
  </si>
  <si>
    <t>DiagnosticSessionContro
诊断会话控制</t>
  </si>
  <si>
    <r>
      <rPr>
        <strike/>
        <sz val="10"/>
        <rFont val="Microsoft YaHei Light"/>
        <charset val="134"/>
      </rPr>
      <t>13&gt;12&gt;22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r>
      <rPr>
        <sz val="10"/>
        <rFont val="Microsoft YaHei Light"/>
        <charset val="134"/>
      </rPr>
      <t>&gt;</t>
    </r>
    <r>
      <rPr>
        <sz val="10"/>
        <color rgb="FFFF0000"/>
        <rFont val="Microsoft YaHei Light"/>
        <charset val="134"/>
      </rPr>
      <t>7E</t>
    </r>
    <r>
      <rPr>
        <strike/>
        <sz val="10"/>
        <rFont val="Microsoft YaHei Light"/>
        <charset val="134"/>
      </rPr>
      <t>&gt;22</t>
    </r>
  </si>
  <si>
    <r>
      <rPr>
        <strike/>
        <sz val="10"/>
        <rFont val="Microsoft YaHei Light"/>
        <charset val="134"/>
      </rPr>
      <t>13&gt;12&gt;22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r>
      <rPr>
        <sz val="10"/>
        <rFont val="Microsoft YaHei Light"/>
        <charset val="134"/>
      </rPr>
      <t>&gt;</t>
    </r>
    <r>
      <rPr>
        <sz val="10"/>
        <color rgb="FFFF0000"/>
        <rFont val="Microsoft YaHei Light"/>
        <charset val="134"/>
      </rPr>
      <t>7E</t>
    </r>
    <r>
      <rPr>
        <sz val="10"/>
        <rFont val="Microsoft YaHei Light"/>
        <charset val="134"/>
      </rPr>
      <t>&gt;22</t>
    </r>
  </si>
  <si>
    <r>
      <rPr>
        <strike/>
        <sz val="10"/>
        <rFont val="Microsoft YaHei Light"/>
        <charset val="134"/>
      </rPr>
      <t>1.Speed&lt;3kph 车速&lt;3kph  &amp;&amp;</t>
    </r>
    <r>
      <rPr>
        <sz val="10"/>
        <rFont val="Microsoft YaHei Light"/>
        <charset val="134"/>
      </rPr>
      <t xml:space="preserve">
</t>
    </r>
    <r>
      <rPr>
        <sz val="10"/>
        <color rgb="FFFF0000"/>
        <rFont val="Microsoft YaHei Light"/>
        <charset val="134"/>
      </rPr>
      <t>2.ECU 电压不在正常范围</t>
    </r>
  </si>
  <si>
    <r>
      <rPr>
        <strike/>
        <sz val="10"/>
        <rFont val="Microsoft YaHei Light"/>
        <charset val="134"/>
      </rPr>
      <t>13&gt;12&gt;</t>
    </r>
    <r>
      <rPr>
        <strike/>
        <sz val="10"/>
        <color rgb="FFFF0000"/>
        <rFont val="Microsoft YaHei Light"/>
        <charset val="134"/>
      </rPr>
      <t>22</t>
    </r>
    <r>
      <rPr>
        <sz val="10"/>
        <rFont val="Microsoft YaHei Light"/>
        <charset val="134"/>
      </rPr>
      <t xml:space="preserve">
</t>
    </r>
    <r>
      <rPr>
        <sz val="10"/>
        <color rgb="FFFF0000"/>
        <rFont val="Microsoft YaHei Light"/>
        <charset val="134"/>
      </rPr>
      <t>13(DLC&lt;2)</t>
    </r>
    <r>
      <rPr>
        <sz val="10"/>
        <rFont val="Microsoft YaHei Light"/>
        <charset val="134"/>
      </rPr>
      <t>&gt;12&gt;</t>
    </r>
    <r>
      <rPr>
        <sz val="10"/>
        <color rgb="FFFF0000"/>
        <rFont val="Microsoft YaHei Light"/>
        <charset val="134"/>
      </rPr>
      <t>13</t>
    </r>
  </si>
  <si>
    <r>
      <rPr>
        <sz val="10"/>
        <rFont val="Microsoft YaHei Light"/>
        <charset val="134"/>
      </rPr>
      <t>13&gt;12&gt;33&gt;37&gt;36</t>
    </r>
    <r>
      <rPr>
        <strike/>
        <sz val="10"/>
        <rFont val="Microsoft YaHei Light"/>
        <charset val="134"/>
      </rPr>
      <t>&gt;22</t>
    </r>
  </si>
  <si>
    <r>
      <rPr>
        <sz val="10"/>
        <rFont val="Microsoft YaHei Light"/>
        <charset val="134"/>
      </rPr>
      <t>13&gt;12&gt;33&gt;24&gt;35&gt;36</t>
    </r>
    <r>
      <rPr>
        <strike/>
        <sz val="10"/>
        <rFont val="Microsoft YaHei Light"/>
        <charset val="134"/>
      </rPr>
      <t>&gt;22</t>
    </r>
  </si>
  <si>
    <r>
      <rPr>
        <strike/>
        <sz val="10"/>
        <rFont val="Microsoft YaHei Light"/>
        <charset val="134"/>
      </rPr>
      <t>13&gt;12&gt;</t>
    </r>
    <r>
      <rPr>
        <strike/>
        <sz val="10"/>
        <color rgb="FFFF0000"/>
        <rFont val="Microsoft YaHei Light"/>
        <charset val="134"/>
      </rPr>
      <t>33</t>
    </r>
    <r>
      <rPr>
        <strike/>
        <sz val="10"/>
        <rFont val="Microsoft YaHei Light"/>
        <charset val="134"/>
      </rPr>
      <t>&gt;37&gt;36&gt;</t>
    </r>
    <r>
      <rPr>
        <strike/>
        <sz val="10"/>
        <color rgb="FFFF0000"/>
        <rFont val="Microsoft YaHei Light"/>
        <charset val="134"/>
      </rPr>
      <t>22</t>
    </r>
    <r>
      <rPr>
        <sz val="10"/>
        <rFont val="Microsoft YaHei Light"/>
        <charset val="134"/>
      </rPr>
      <t xml:space="preserve">
</t>
    </r>
    <r>
      <rPr>
        <sz val="10"/>
        <color rgb="FFFF0000"/>
        <rFont val="Microsoft YaHei Light"/>
        <charset val="134"/>
      </rPr>
      <t>7F&gt;13(DLC&lt;2)</t>
    </r>
    <r>
      <rPr>
        <sz val="10"/>
        <rFont val="Microsoft YaHei Light"/>
        <charset val="134"/>
      </rPr>
      <t>&gt;12&gt;</t>
    </r>
    <r>
      <rPr>
        <sz val="10"/>
        <color rgb="FFFF0000"/>
        <rFont val="Microsoft YaHei Light"/>
        <charset val="134"/>
      </rPr>
      <t>13</t>
    </r>
    <r>
      <rPr>
        <sz val="10"/>
        <rFont val="Microsoft YaHei Light"/>
        <charset val="134"/>
      </rPr>
      <t>&gt;37&gt;36</t>
    </r>
  </si>
  <si>
    <r>
      <rPr>
        <strike/>
        <sz val="10"/>
        <rFont val="Microsoft YaHei Light"/>
        <charset val="134"/>
      </rPr>
      <t>13&gt;12&gt;</t>
    </r>
    <r>
      <rPr>
        <strike/>
        <sz val="10"/>
        <color rgb="FFFF0000"/>
        <rFont val="Microsoft YaHei Light"/>
        <charset val="134"/>
      </rPr>
      <t>33</t>
    </r>
    <r>
      <rPr>
        <strike/>
        <sz val="10"/>
        <rFont val="Microsoft YaHei Light"/>
        <charset val="134"/>
      </rPr>
      <t>&gt;24&gt;35&gt;36&gt;22</t>
    </r>
    <r>
      <rPr>
        <sz val="10"/>
        <rFont val="Microsoft YaHei Light"/>
        <charset val="134"/>
      </rPr>
      <t xml:space="preserve">
</t>
    </r>
    <r>
      <rPr>
        <sz val="10"/>
        <color rgb="FFFF0000"/>
        <rFont val="Microsoft YaHei Light"/>
        <charset val="134"/>
      </rPr>
      <t>7F&gt;13(DLC&lt;2)&gt;</t>
    </r>
    <r>
      <rPr>
        <sz val="10"/>
        <rFont val="Microsoft YaHei Light"/>
        <charset val="134"/>
      </rPr>
      <t>12&gt;</t>
    </r>
    <r>
      <rPr>
        <sz val="10"/>
        <color rgb="FFFF0000"/>
        <rFont val="Microsoft YaHei Light"/>
        <charset val="134"/>
      </rPr>
      <t>13</t>
    </r>
    <r>
      <rPr>
        <sz val="10"/>
        <rFont val="Microsoft YaHei Light"/>
        <charset val="134"/>
      </rPr>
      <t>&gt;24&gt;35&gt;36</t>
    </r>
  </si>
  <si>
    <r>
      <rPr>
        <strike/>
        <sz val="10"/>
        <rFont val="Microsoft YaHei Light"/>
        <charset val="134"/>
      </rPr>
      <t>13&gt;12&gt;31</t>
    </r>
    <r>
      <rPr>
        <strike/>
        <sz val="10"/>
        <color rgb="FFFF0000"/>
        <rFont val="Microsoft YaHei Light"/>
        <charset val="134"/>
      </rPr>
      <t>&gt;22</t>
    </r>
    <r>
      <rPr>
        <sz val="10"/>
        <rFont val="Microsoft YaHei Light"/>
        <charset val="134"/>
      </rPr>
      <t xml:space="preserve">
</t>
    </r>
    <r>
      <rPr>
        <sz val="10"/>
        <color rgb="FFFF0000"/>
        <rFont val="Microsoft YaHei Light"/>
        <charset val="134"/>
      </rPr>
      <t>7F&gt;13(DLC&lt;2)</t>
    </r>
    <r>
      <rPr>
        <sz val="10"/>
        <rFont val="Microsoft YaHei Light"/>
        <charset val="134"/>
      </rPr>
      <t>&gt;12&gt;</t>
    </r>
    <r>
      <rPr>
        <sz val="10"/>
        <color rgb="FFFF0000"/>
        <rFont val="Microsoft YaHei Light"/>
        <charset val="134"/>
      </rPr>
      <t>13</t>
    </r>
    <r>
      <rPr>
        <sz val="10"/>
        <rFont val="Microsoft YaHei Light"/>
        <charset val="134"/>
      </rPr>
      <t xml:space="preserve"> &gt;31</t>
    </r>
  </si>
  <si>
    <t>格式正确直接正响应</t>
  </si>
  <si>
    <r>
      <rPr>
        <strike/>
        <sz val="10"/>
        <rFont val="Microsoft YaHei Light"/>
        <charset val="134"/>
      </rPr>
      <t>13&gt;12&gt;</t>
    </r>
    <r>
      <rPr>
        <strike/>
        <sz val="10"/>
        <color rgb="FFFF0000"/>
        <rFont val="Microsoft YaHei Light"/>
        <charset val="134"/>
      </rPr>
      <t>22</t>
    </r>
    <r>
      <rPr>
        <sz val="10"/>
        <rFont val="Microsoft YaHei Light"/>
        <charset val="134"/>
      </rPr>
      <t xml:space="preserve">
</t>
    </r>
    <r>
      <rPr>
        <sz val="10"/>
        <color rgb="FFFF0000"/>
        <rFont val="Microsoft YaHei Light"/>
        <charset val="134"/>
      </rPr>
      <t>7F&gt;13(DLC&lt;2)</t>
    </r>
    <r>
      <rPr>
        <sz val="10"/>
        <rFont val="Microsoft YaHei Light"/>
        <charset val="134"/>
      </rPr>
      <t>&gt;12&gt;</t>
    </r>
    <r>
      <rPr>
        <sz val="10"/>
        <color rgb="FFFF0000"/>
        <rFont val="Microsoft YaHei Light"/>
        <charset val="134"/>
      </rPr>
      <t>13</t>
    </r>
  </si>
  <si>
    <r>
      <rPr>
        <strike/>
        <sz val="10"/>
        <rFont val="Microsoft YaHei Light"/>
        <charset val="134"/>
      </rPr>
      <t>13&gt;31&gt;33&gt;</t>
    </r>
    <r>
      <rPr>
        <strike/>
        <sz val="10"/>
        <color rgb="FFFF0000"/>
        <rFont val="Microsoft YaHei Light"/>
        <charset val="134"/>
      </rPr>
      <t>22</t>
    </r>
    <r>
      <rPr>
        <strike/>
        <sz val="10"/>
        <rFont val="Microsoft YaHei Light"/>
        <charset val="134"/>
      </rPr>
      <t>&gt;72</t>
    </r>
    <r>
      <rPr>
        <sz val="10"/>
        <rFont val="Microsoft YaHei Light"/>
        <charset val="134"/>
      </rPr>
      <t xml:space="preserve">
7F</t>
    </r>
    <r>
      <rPr>
        <sz val="10"/>
        <color rgb="FFFF0000"/>
        <rFont val="Microsoft YaHei Light"/>
        <charset val="134"/>
      </rPr>
      <t>&gt;33</t>
    </r>
    <r>
      <rPr>
        <sz val="10"/>
        <rFont val="Microsoft YaHei Light"/>
        <charset val="134"/>
      </rPr>
      <t>&gt;13(DLC&lt;2)&gt;13&gt;31&gt;33&gt;72</t>
    </r>
  </si>
  <si>
    <r>
      <rPr>
        <sz val="10"/>
        <rFont val="Microsoft YaHei Light"/>
        <charset val="134"/>
      </rPr>
      <t>7F&gt;13(DLC&lt;2)&gt;13&gt;31&gt;33&gt;12&gt;72&gt;</t>
    </r>
    <r>
      <rPr>
        <strike/>
        <sz val="10"/>
        <color rgb="FFFF0000"/>
        <rFont val="Microsoft YaHei Light"/>
        <charset val="134"/>
      </rPr>
      <t>22</t>
    </r>
    <r>
      <rPr>
        <sz val="10"/>
        <color rgb="FFFF0000"/>
        <rFont val="Microsoft YaHei Light"/>
        <charset val="134"/>
      </rPr>
      <t>&gt;24</t>
    </r>
  </si>
  <si>
    <t>编程失败(用于擦除指令)</t>
  </si>
  <si>
    <t>在默认会话下支持31 01 DD 01(stayinboot)</t>
  </si>
  <si>
    <r>
      <rPr>
        <sz val="10"/>
        <rFont val="Microsoft YaHei Light"/>
        <charset val="134"/>
      </rPr>
      <t>7F&gt;13(DLC&lt;2)&gt;13&gt;31&gt;33&gt;70&gt;</t>
    </r>
    <r>
      <rPr>
        <sz val="10"/>
        <color rgb="FFFF0000"/>
        <rFont val="Microsoft YaHei Light"/>
        <charset val="134"/>
      </rPr>
      <t>24</t>
    </r>
  </si>
  <si>
    <r>
      <rPr>
        <strike/>
        <sz val="10"/>
        <rFont val="Microsoft YaHei Light"/>
        <charset val="134"/>
      </rPr>
      <t>13&gt;24&gt;71&gt;73&gt;31&gt;72&gt;92&gt;93</t>
    </r>
    <r>
      <rPr>
        <sz val="10"/>
        <rFont val="Microsoft YaHei Light"/>
        <charset val="134"/>
      </rPr>
      <t xml:space="preserve">
</t>
    </r>
    <r>
      <rPr>
        <sz val="10"/>
        <color rgb="FFFF0000"/>
        <rFont val="Microsoft YaHei Light"/>
        <charset val="134"/>
      </rPr>
      <t>7F&gt;13(DLC&lt;2)</t>
    </r>
    <r>
      <rPr>
        <sz val="10"/>
        <rFont val="Microsoft YaHei Light"/>
        <charset val="134"/>
      </rPr>
      <t>&gt;13&gt;24&gt;71&gt;73&gt;31&gt;72&gt;92&gt;93</t>
    </r>
  </si>
  <si>
    <r>
      <rPr>
        <strike/>
        <sz val="10"/>
        <rFont val="Microsoft YaHei Light"/>
        <charset val="134"/>
      </rPr>
      <t>24&gt;13&gt;72</t>
    </r>
    <r>
      <rPr>
        <sz val="10"/>
        <color rgb="FFFF0000"/>
        <rFont val="Microsoft YaHei Light"/>
        <charset val="134"/>
      </rPr>
      <t xml:space="preserve">
7F</t>
    </r>
    <r>
      <rPr>
        <sz val="10"/>
        <rFont val="Microsoft YaHei Light"/>
        <charset val="134"/>
      </rPr>
      <t>&gt;24&gt;13&gt;72</t>
    </r>
  </si>
  <si>
    <t>Diagnostic Questionnaire -CommunicationControlServices</t>
  </si>
  <si>
    <r>
      <rPr>
        <b/>
        <sz val="12"/>
        <rFont val="宋体"/>
        <charset val="134"/>
      </rPr>
      <t>诊断调查问卷</t>
    </r>
    <r>
      <rPr>
        <b/>
        <sz val="12"/>
        <rFont val="Arial"/>
        <charset val="134"/>
      </rPr>
      <t xml:space="preserve">- </t>
    </r>
    <r>
      <rPr>
        <b/>
        <sz val="12"/>
        <rFont val="宋体"/>
        <charset val="134"/>
      </rPr>
      <t>通信控制类型</t>
    </r>
    <r>
      <rPr>
        <b/>
        <sz val="12"/>
        <rFont val="Arial"/>
        <charset val="134"/>
      </rPr>
      <t xml:space="preserve"> </t>
    </r>
  </si>
  <si>
    <r>
      <rPr>
        <b/>
        <sz val="10"/>
        <rFont val="Arial"/>
        <charset val="134"/>
      </rPr>
      <t xml:space="preserve">Service ID
</t>
    </r>
    <r>
      <rPr>
        <b/>
        <sz val="10"/>
        <rFont val="宋体"/>
        <charset val="134"/>
      </rPr>
      <t>服务标识符</t>
    </r>
  </si>
  <si>
    <r>
      <rPr>
        <b/>
        <sz val="10"/>
        <rFont val="Arial"/>
        <charset val="134"/>
      </rPr>
      <t xml:space="preserve">Diagnostic Services Name
</t>
    </r>
    <r>
      <rPr>
        <b/>
        <sz val="10"/>
        <rFont val="宋体"/>
        <charset val="134"/>
      </rPr>
      <t>诊断服务名称</t>
    </r>
  </si>
  <si>
    <r>
      <rPr>
        <b/>
        <sz val="10"/>
        <rFont val="Arial"/>
        <charset val="134"/>
      </rPr>
      <t xml:space="preserve">Sub-functions
</t>
    </r>
    <r>
      <rPr>
        <b/>
        <sz val="10"/>
        <rFont val="宋体"/>
        <charset val="134"/>
      </rPr>
      <t>子功能</t>
    </r>
  </si>
  <si>
    <r>
      <rPr>
        <b/>
        <sz val="10"/>
        <rFont val="Arial"/>
        <charset val="134"/>
      </rPr>
      <t>Communication Contorl Type</t>
    </r>
    <r>
      <rPr>
        <b/>
        <vertAlign val="superscript"/>
        <sz val="10"/>
        <rFont val="Arial"/>
        <charset val="134"/>
      </rPr>
      <t xml:space="preserve">1
</t>
    </r>
    <r>
      <rPr>
        <b/>
        <sz val="10"/>
        <rFont val="宋体"/>
        <charset val="134"/>
      </rPr>
      <t>通信控制类型</t>
    </r>
    <r>
      <rPr>
        <b/>
        <vertAlign val="superscript"/>
        <sz val="10"/>
        <rFont val="Arial"/>
        <charset val="134"/>
      </rPr>
      <t>1</t>
    </r>
  </si>
  <si>
    <r>
      <rPr>
        <b/>
        <sz val="10"/>
        <rFont val="Arial"/>
        <charset val="134"/>
      </rPr>
      <t xml:space="preserve">Comments 
</t>
    </r>
    <r>
      <rPr>
        <b/>
        <sz val="10"/>
        <rFont val="宋体"/>
        <charset val="134"/>
      </rPr>
      <t>说明</t>
    </r>
  </si>
  <si>
    <r>
      <rPr>
        <b/>
        <sz val="10"/>
        <rFont val="Arial"/>
        <charset val="134"/>
      </rPr>
      <t xml:space="preserve">NCM
</t>
    </r>
    <r>
      <rPr>
        <b/>
        <sz val="10"/>
        <rFont val="宋体"/>
        <charset val="134"/>
      </rPr>
      <t>常规通信报文</t>
    </r>
    <r>
      <rPr>
        <b/>
        <sz val="10"/>
        <rFont val="Arial"/>
        <charset val="134"/>
      </rPr>
      <t xml:space="preserve">
0x01</t>
    </r>
  </si>
  <si>
    <r>
      <rPr>
        <b/>
        <sz val="10"/>
        <rFont val="Arial"/>
        <charset val="134"/>
      </rPr>
      <t xml:space="preserve">NMCM
</t>
    </r>
    <r>
      <rPr>
        <b/>
        <sz val="10"/>
        <rFont val="宋体"/>
        <charset val="134"/>
      </rPr>
      <t>网络管理报文</t>
    </r>
    <r>
      <rPr>
        <b/>
        <sz val="10"/>
        <rFont val="Arial"/>
        <charset val="134"/>
      </rPr>
      <t xml:space="preserve">
0x02</t>
    </r>
  </si>
  <si>
    <r>
      <rPr>
        <b/>
        <sz val="10"/>
        <rFont val="Arial"/>
        <charset val="134"/>
      </rPr>
      <t xml:space="preserve">NCM_NMCM
</t>
    </r>
    <r>
      <rPr>
        <b/>
        <sz val="10"/>
        <rFont val="宋体"/>
        <charset val="134"/>
      </rPr>
      <t>常规通信及网络管理报文</t>
    </r>
    <r>
      <rPr>
        <b/>
        <sz val="10"/>
        <rFont val="Arial"/>
        <charset val="134"/>
      </rPr>
      <t xml:space="preserve">
0x03</t>
    </r>
  </si>
  <si>
    <r>
      <rPr>
        <sz val="10"/>
        <rFont val="Arial"/>
        <charset val="134"/>
      </rPr>
      <t xml:space="preserve">CommunicationControl
</t>
    </r>
    <r>
      <rPr>
        <sz val="10"/>
        <rFont val="宋体"/>
        <charset val="134"/>
      </rPr>
      <t>通信控制</t>
    </r>
    <r>
      <rPr>
        <sz val="10"/>
        <rFont val="Arial"/>
        <charset val="134"/>
      </rPr>
      <t xml:space="preserve"> </t>
    </r>
  </si>
  <si>
    <r>
      <rPr>
        <sz val="10"/>
        <rFont val="Arial"/>
        <charset val="134"/>
      </rPr>
      <t xml:space="preserve">0x00 EnableRxAndTx
0x00 </t>
    </r>
    <r>
      <rPr>
        <sz val="10"/>
        <rFont val="宋体"/>
        <charset val="134"/>
      </rPr>
      <t>使能收发</t>
    </r>
  </si>
  <si>
    <r>
      <rPr>
        <sz val="10"/>
        <rFont val="Arial"/>
        <charset val="134"/>
      </rPr>
      <t xml:space="preserve">0x01 EnableRxAndDisableTx
0x01 </t>
    </r>
    <r>
      <rPr>
        <sz val="10"/>
        <rFont val="宋体"/>
        <charset val="134"/>
      </rPr>
      <t>使能收禁止发</t>
    </r>
  </si>
  <si>
    <r>
      <rPr>
        <sz val="10"/>
        <rFont val="Arial"/>
        <charset val="134"/>
      </rPr>
      <t xml:space="preserve">0x02 DisableRxAndEnableTx
0x02 </t>
    </r>
    <r>
      <rPr>
        <sz val="10"/>
        <rFont val="宋体"/>
        <charset val="134"/>
      </rPr>
      <t>禁止收使能发</t>
    </r>
  </si>
  <si>
    <r>
      <rPr>
        <sz val="10"/>
        <rFont val="Arial"/>
        <charset val="134"/>
      </rPr>
      <t xml:space="preserve">0x03 DisableRxAndTx
0x03 </t>
    </r>
    <r>
      <rPr>
        <sz val="10"/>
        <rFont val="宋体"/>
        <charset val="134"/>
      </rPr>
      <t>禁止收发</t>
    </r>
  </si>
  <si>
    <r>
      <rPr>
        <sz val="10"/>
        <rFont val="Arial"/>
        <charset val="134"/>
      </rP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charset val="134"/>
      </rPr>
      <t>请在列表中选择其支持的通信控制类型：</t>
    </r>
    <r>
      <rPr>
        <sz val="10"/>
        <rFont val="Arial"/>
        <charset val="134"/>
      </rPr>
      <t xml:space="preserve">"Y" </t>
    </r>
    <r>
      <rPr>
        <sz val="10"/>
        <rFont val="宋体"/>
        <charset val="134"/>
      </rPr>
      <t>表示服务支持该通信控制类型；</t>
    </r>
    <r>
      <rPr>
        <sz val="10"/>
        <rFont val="Arial"/>
        <charset val="134"/>
      </rPr>
      <t xml:space="preserve">"N" </t>
    </r>
    <r>
      <rPr>
        <sz val="10"/>
        <rFont val="宋体"/>
        <charset val="134"/>
      </rPr>
      <t>表示服务不支持该通信控制类型；</t>
    </r>
    <r>
      <rPr>
        <sz val="10"/>
        <rFont val="Arial"/>
        <charset val="134"/>
      </rPr>
      <t xml:space="preserve"> "TBD" </t>
    </r>
    <r>
      <rPr>
        <sz val="10"/>
        <rFont val="宋体"/>
        <charset val="134"/>
      </rPr>
      <t xml:space="preserve">表示待定。
</t>
    </r>
    <r>
      <rPr>
        <sz val="10"/>
        <rFont val="Arial"/>
        <charset val="134"/>
      </rPr>
      <t xml:space="preserve">Remarks: The meaning of terms in this table is showed in the "Terms" worksheet.
</t>
    </r>
    <r>
      <rPr>
        <sz val="10"/>
        <rFont val="宋体"/>
        <charset val="134"/>
      </rPr>
      <t>注：表格中术语的含义在Terms工作表中给出。</t>
    </r>
  </si>
  <si>
    <t>通信控制</t>
  </si>
  <si>
    <t>填写要求：
1.本页灰色部分不能删减，若部件ECU的支持情况如有差异，请将差异项用黄色背景标注；
2.空白的单元格请使用“/”进行填充</t>
  </si>
  <si>
    <t>Num
序号</t>
  </si>
  <si>
    <t>DID(HEX)
DID号</t>
  </si>
  <si>
    <t>DID Description English 
DID描述（英文）</t>
  </si>
  <si>
    <t>DID Description Chinese 
DID描述（中文）</t>
  </si>
  <si>
    <t>R/W State
读/写 状态</t>
  </si>
  <si>
    <t>Size
(Bytes)</t>
  </si>
  <si>
    <t>Byte
字节</t>
  </si>
  <si>
    <t>Bit
位</t>
  </si>
  <si>
    <t>Sub Data Name English 
子数据名称（英文）</t>
  </si>
  <si>
    <t>Sub Data Name Chinese 
子数据名称（中文）</t>
  </si>
  <si>
    <t>Range, Min(Phy.)
最小值</t>
  </si>
  <si>
    <t>Range, Max(Phy.)
最大值</t>
  </si>
  <si>
    <t>Unit
单位</t>
  </si>
  <si>
    <t>MethodType English 
方法类型（英文）</t>
  </si>
  <si>
    <t>MethodType Chinese 
方法类型（中文）</t>
  </si>
  <si>
    <t>Default value(Phy.)
默认值</t>
  </si>
  <si>
    <t>Data Type
数据类型</t>
  </si>
  <si>
    <t>Storage Pos
存储位置</t>
  </si>
  <si>
    <t>Service $22 
$22服务</t>
  </si>
  <si>
    <t>Service $2E
$2E服务</t>
  </si>
  <si>
    <t>Product
生产</t>
  </si>
  <si>
    <t>After-sales
售后</t>
  </si>
  <si>
    <t>Remarks 
备注</t>
  </si>
  <si>
    <t>Application Software
应用程序模式</t>
  </si>
  <si>
    <t>Boot Software
引导程序模式</t>
  </si>
  <si>
    <t>Security Level
安全等级</t>
  </si>
  <si>
    <t>Level0
锁定</t>
  </si>
  <si>
    <t>0xF011</t>
  </si>
  <si>
    <t>Vehicle configuration word</t>
  </si>
  <si>
    <t>车辆配置字</t>
  </si>
  <si>
    <t>R/W</t>
  </si>
  <si>
    <t>TBD</t>
  </si>
  <si>
    <t>ALL</t>
  </si>
  <si>
    <t>- (No Unit)</t>
  </si>
  <si>
    <t>Flash</t>
  </si>
  <si>
    <t>参考主机厂配置字规范</t>
  </si>
  <si>
    <t>0xF197</t>
  </si>
  <si>
    <t>systemName</t>
  </si>
  <si>
    <t>ECU名称</t>
  </si>
  <si>
    <t>R</t>
  </si>
  <si>
    <t>LSSM_RL1
LSSM_RL2
LSSM_RR1
LSSM_RR2</t>
  </si>
  <si>
    <t>不满10字节在后边/右边填充0x20, 固定值</t>
  </si>
  <si>
    <t>0xF089</t>
  </si>
  <si>
    <t>vehicleManufacturerECUHardwareVersionNumberDataIdentifier</t>
  </si>
  <si>
    <t>整车厂ECU硬件版本号</t>
  </si>
  <si>
    <t>0~4</t>
  </si>
  <si>
    <t>0~39</t>
  </si>
  <si>
    <t>Hardware Version Number</t>
  </si>
  <si>
    <t>V1.01</t>
  </si>
  <si>
    <t>VX.YY
X为大版本，初始版本为1，当控制器硬件大升级时(Boot与硬件不兼容)+1， 同时YY恢复成01；
YY为小版本，初始版本为01，每次控制器硬件小升级（Boot与硬件能兼容）时+1</t>
  </si>
  <si>
    <t>0xF189</t>
  </si>
  <si>
    <t>vehicleManufacturerECUSoftwareVersionNumberDataIdentifier</t>
  </si>
  <si>
    <t>整车厂ECU软件版本号</t>
  </si>
  <si>
    <t>0~14</t>
  </si>
  <si>
    <t>0~119</t>
  </si>
  <si>
    <t>Software Version Number</t>
  </si>
  <si>
    <t>01.00.00_YYMMDD</t>
  </si>
  <si>
    <t>AA.BB.CC_YYMMDD
AA为主版本，初始值为01， 每次重大升级+1
BB为子版本，初始值为01，在原有功能基础上进行部分修改时+1；当大版本升级+1时，恢复成01
CC为修正版本，仅局部修改或者Budfix时+1
YYMMDD为年月日</t>
  </si>
  <si>
    <t>0xF090</t>
  </si>
  <si>
    <t>vehicleManufacturerECUBackupSoftwareVersionNumberDataIdentifier</t>
  </si>
  <si>
    <t>备份软件版本号</t>
  </si>
  <si>
    <t>Backup Software Version Number</t>
  </si>
  <si>
    <t>参考《Olympus零部件软件打包与资产信息采集规范》</t>
  </si>
  <si>
    <t>0xF032</t>
  </si>
  <si>
    <t>Vehicle manufacturer calibration version number</t>
  </si>
  <si>
    <t>标定版本号</t>
  </si>
  <si>
    <t>0~11</t>
  </si>
  <si>
    <t>0~95</t>
  </si>
  <si>
    <t>0xF180</t>
  </si>
  <si>
    <t>BootSoftwareIdentificationDataIdentifier</t>
  </si>
  <si>
    <t>BootLoader软件版本号</t>
  </si>
  <si>
    <t>Bootloader Softwar eVersion Number</t>
  </si>
  <si>
    <t>01.00_YYMMDD</t>
  </si>
  <si>
    <t>AA.BB_YYMMDD
AA为主版本，初始值为01， 每次重大升级+1
BB为子版本，初始值为01，在原有功能基础上进行部分修改时+1；当大版本升级+1时，恢复成01</t>
  </si>
  <si>
    <t>0xF0A0</t>
  </si>
  <si>
    <t>BackupBootloaderSoftwareVersionNumberDataIdentifier</t>
  </si>
  <si>
    <t>备区Bootloader版本号</t>
  </si>
  <si>
    <t>Backup Bootloader Softwar eVersion Number</t>
  </si>
  <si>
    <t>0xF0FA</t>
  </si>
  <si>
    <t>SoftwareID</t>
  </si>
  <si>
    <t>软件识别码</t>
  </si>
  <si>
    <t>SoftID</t>
  </si>
  <si>
    <r>
      <rPr>
        <sz val="10"/>
        <color theme="1"/>
        <rFont val="宋体"/>
        <charset val="134"/>
        <scheme val="minor"/>
      </rPr>
      <t>LSSM_RL1:BOD</t>
    </r>
    <r>
      <rPr>
        <sz val="10"/>
        <color rgb="FFFF0000"/>
        <rFont val="宋体"/>
        <charset val="134"/>
        <scheme val="minor"/>
      </rPr>
      <t>62</t>
    </r>
    <r>
      <rPr>
        <sz val="10"/>
        <color theme="1"/>
        <rFont val="宋体"/>
        <charset val="134"/>
        <scheme val="minor"/>
      </rPr>
      <t>A001
LSSM_RL2:BOD</t>
    </r>
    <r>
      <rPr>
        <sz val="10"/>
        <color rgb="FFFF0000"/>
        <rFont val="宋体"/>
        <charset val="134"/>
        <scheme val="minor"/>
      </rPr>
      <t>63</t>
    </r>
    <r>
      <rPr>
        <sz val="10"/>
        <color theme="1"/>
        <rFont val="宋体"/>
        <charset val="134"/>
        <scheme val="minor"/>
      </rPr>
      <t>A001
LSSM_RR1:BOD</t>
    </r>
    <r>
      <rPr>
        <sz val="10"/>
        <color rgb="FFFF0000"/>
        <rFont val="宋体"/>
        <charset val="134"/>
        <scheme val="minor"/>
      </rPr>
      <t>79</t>
    </r>
    <r>
      <rPr>
        <sz val="10"/>
        <color theme="1"/>
        <rFont val="宋体"/>
        <charset val="134"/>
        <scheme val="minor"/>
      </rPr>
      <t>A001
LSSM_RR2:BOD</t>
    </r>
    <r>
      <rPr>
        <sz val="10"/>
        <color rgb="FFFF0000"/>
        <rFont val="宋体"/>
        <charset val="134"/>
        <scheme val="minor"/>
      </rPr>
      <t>80</t>
    </r>
    <r>
      <rPr>
        <sz val="10"/>
        <color theme="1"/>
        <rFont val="宋体"/>
        <charset val="134"/>
        <scheme val="minor"/>
      </rPr>
      <t>A001</t>
    </r>
  </si>
  <si>
    <t>EEPROM</t>
  </si>
  <si>
    <t>0xF187</t>
  </si>
  <si>
    <t>vehicleManufacturerSparePartNumberDataIdentifier</t>
  </si>
  <si>
    <t>整车厂定义零件号</t>
  </si>
  <si>
    <t>0~13</t>
  </si>
  <si>
    <r>
      <rPr>
        <sz val="10"/>
        <color theme="1"/>
        <rFont val="宋体"/>
        <charset val="134"/>
        <scheme val="minor"/>
      </rPr>
      <t>LSSM_RL1:70009</t>
    </r>
    <r>
      <rPr>
        <sz val="10"/>
        <color rgb="FFFF0000"/>
        <rFont val="宋体"/>
        <charset val="134"/>
        <scheme val="minor"/>
      </rPr>
      <t>3</t>
    </r>
    <r>
      <rPr>
        <sz val="10"/>
        <color theme="1"/>
        <rFont val="宋体"/>
        <charset val="134"/>
        <scheme val="minor"/>
      </rPr>
      <t>0X8W0200
LSSM_RL2:70009</t>
    </r>
    <r>
      <rPr>
        <sz val="10"/>
        <color rgb="FFFF0000"/>
        <rFont val="宋体"/>
        <charset val="134"/>
        <scheme val="minor"/>
      </rPr>
      <t>5</t>
    </r>
    <r>
      <rPr>
        <sz val="10"/>
        <color theme="1"/>
        <rFont val="宋体"/>
        <charset val="134"/>
        <scheme val="minor"/>
      </rPr>
      <t>0X8W0200
LSSM_RR1:70009</t>
    </r>
    <r>
      <rPr>
        <sz val="10"/>
        <color rgb="FFFF0000"/>
        <rFont val="宋体"/>
        <charset val="134"/>
        <scheme val="minor"/>
      </rPr>
      <t>4</t>
    </r>
    <r>
      <rPr>
        <sz val="10"/>
        <color theme="1"/>
        <rFont val="宋体"/>
        <charset val="134"/>
        <scheme val="minor"/>
      </rPr>
      <t>0X8W0200
LSSM_RR2:70009</t>
    </r>
    <r>
      <rPr>
        <sz val="10"/>
        <color rgb="FFFF0000"/>
        <rFont val="宋体"/>
        <charset val="134"/>
        <scheme val="minor"/>
      </rPr>
      <t>6</t>
    </r>
    <r>
      <rPr>
        <sz val="10"/>
        <color theme="1"/>
        <rFont val="宋体"/>
        <charset val="134"/>
        <scheme val="minor"/>
      </rPr>
      <t>0X8W0200</t>
    </r>
  </si>
  <si>
    <t>参考主机厂零件号规则
不满16字节在后边/右边填充0x20</t>
  </si>
  <si>
    <t>14~15</t>
  </si>
  <si>
    <t>预留，空格0x20</t>
  </si>
  <si>
    <t>0x20</t>
  </si>
  <si>
    <t>0xF013</t>
  </si>
  <si>
    <t>vehicleManufacturerLogisticSoftwarePartNumberDataIdentifier</t>
  </si>
  <si>
    <t>整车厂定义软件零件号</t>
  </si>
  <si>
    <t>参考主机厂软件零件号规则
不满16字节在后边/右边填充0x20</t>
  </si>
  <si>
    <t>0xF031</t>
  </si>
  <si>
    <t>Vehicle Manufacturer Calibration Data Part Number</t>
  </si>
  <si>
    <t>标定零件号</t>
  </si>
  <si>
    <t>0xF184</t>
  </si>
  <si>
    <t>applicationSoftwareFingerprintDataIdentifier</t>
  </si>
  <si>
    <t>应用软件指纹信息</t>
  </si>
  <si>
    <t>0~7</t>
  </si>
  <si>
    <t>Programming Year</t>
  </si>
  <si>
    <t>年</t>
  </si>
  <si>
    <t>y (year)</t>
  </si>
  <si>
    <t>Y=(ax+b)/c
(a=1，b=2000，c=1)</t>
  </si>
  <si>
    <t>参考主机厂刷写规范</t>
  </si>
  <si>
    <t>采用主机厂智选车刷写规范</t>
  </si>
  <si>
    <t>Programming Month</t>
  </si>
  <si>
    <t>月</t>
  </si>
  <si>
    <t>m (month)</t>
  </si>
  <si>
    <t>Y=(ax+b)/c
(a=1，b=0，c=1)</t>
  </si>
  <si>
    <t>Programming Date</t>
  </si>
  <si>
    <t>日</t>
  </si>
  <si>
    <t>d (Day)</t>
  </si>
  <si>
    <t>3~18</t>
  </si>
  <si>
    <t>0~127</t>
  </si>
  <si>
    <t xml:space="preserve">Device Number </t>
  </si>
  <si>
    <t>设备编号</t>
  </si>
  <si>
    <t>0xF193</t>
  </si>
  <si>
    <t>systemSupplierECUHardwareVersionNumberDataIdentifier</t>
  </si>
  <si>
    <t>供应商定义ECU 硬件版本号</t>
  </si>
  <si>
    <t>V1.0.0</t>
  </si>
  <si>
    <t>“Vx.y.z”
x_阶段号，A/B/C Sample 分别对应为 1/2/3；
y_大版本号，在文件经过评审之后按照自然数方式从 0 递增；
z_小版本号，在样件开发期间，文件需要升级，在未通过评审前，小版本号 z 升位，以自然数方式从 0 递增；
注 ：sample	的定义可以跟随硬件版本；</t>
  </si>
  <si>
    <t>0xF195</t>
  </si>
  <si>
    <t>systemSupplierECUSoftwareVersionNumberDataIdentifier</t>
  </si>
  <si>
    <t>供应商定义ECU 软件版本号</t>
  </si>
  <si>
    <t>V2.1.0</t>
  </si>
  <si>
    <t>"Vx.y.z"
x：A/B/C Sample 对应1/2/3
y：对应软件大变化，如功能模块的新增等，范围：0,1,2,3,4,5,6,7,8,9,A,B,C,D,E,F
z：对应软件小变化，如修复bug，范围：0,1,2,3,4,5,6,7,8,9,A,B,C,D,E,F
注：对于y/z位如升级到F后，则自动向前进位，例如V3.0.F后升级为V3.1.0，V3.F.F后升级为V4.0.0
（如客户定义了软件版本说明，可按照客户需求进行调整）</t>
  </si>
  <si>
    <t>0xF18A</t>
  </si>
  <si>
    <t>systemSupplierIdentifierDataIdentifier</t>
  </si>
  <si>
    <t>供应商代码</t>
  </si>
  <si>
    <r>
      <rPr>
        <strike/>
        <sz val="10"/>
        <color theme="1"/>
        <rFont val="宋体"/>
        <charset val="134"/>
        <scheme val="minor"/>
      </rPr>
      <t>L23078</t>
    </r>
    <r>
      <rPr>
        <sz val="10"/>
        <color theme="1"/>
        <rFont val="宋体"/>
        <charset val="134"/>
        <scheme val="minor"/>
      </rPr>
      <t>HW0039</t>
    </r>
  </si>
  <si>
    <t>参考主机厂规则</t>
  </si>
  <si>
    <t>0xF18B</t>
  </si>
  <si>
    <t>ECU manufacturing date</t>
  </si>
  <si>
    <t>ECU生产日期</t>
  </si>
  <si>
    <t>供应商制定</t>
  </si>
  <si>
    <t>0xF18C</t>
  </si>
  <si>
    <t>Trace Code</t>
  </si>
  <si>
    <t>精确追溯码</t>
  </si>
  <si>
    <t>0~3</t>
  </si>
  <si>
    <t>0~31</t>
  </si>
  <si>
    <t>date of manufacture</t>
  </si>
  <si>
    <t>生产日期</t>
  </si>
  <si>
    <t xml:space="preserve">参照主机厂《零部件精确追溯码规则》
</t>
  </si>
  <si>
    <t>仅在精准追溯特性方案里使用，每次上电读取关键部件部件的精准追溯码</t>
  </si>
  <si>
    <t>4~7</t>
  </si>
  <si>
    <t>Serial number</t>
  </si>
  <si>
    <t>流水号</t>
  </si>
  <si>
    <t>8~13</t>
  </si>
  <si>
    <t>0~47</t>
  </si>
  <si>
    <t>Supplier Code （F18A）</t>
  </si>
  <si>
    <t>14-29</t>
  </si>
  <si>
    <t>vehicleManufacturerSparePartNumberDataIdentifier （F187）</t>
  </si>
  <si>
    <t>零部件号</t>
  </si>
  <si>
    <t>0xF190</t>
  </si>
  <si>
    <t>VINDataIdentifier</t>
  </si>
  <si>
    <t>车辆识别号</t>
  </si>
  <si>
    <t>出厂默认设置ASCII字符0x00000000000000000</t>
  </si>
  <si>
    <t>0xF0F0</t>
  </si>
  <si>
    <t>RunningAreaInfo</t>
  </si>
  <si>
    <t>当前运行分区信息</t>
  </si>
  <si>
    <t>0x41 Partition A
0x42 Partition B</t>
  </si>
  <si>
    <t>0x41 A分区
0x42 B分区</t>
  </si>
  <si>
    <t>Texttable</t>
  </si>
  <si>
    <t>0xF0F4</t>
  </si>
  <si>
    <t>Innerchip RunningAreaInfo</t>
  </si>
  <si>
    <t>子部件当前运行分区信息</t>
  </si>
  <si>
    <t>0xF0F2</t>
  </si>
  <si>
    <t>InstallProgress</t>
  </si>
  <si>
    <t>获取安装进度和结果</t>
  </si>
  <si>
    <t>FileInstallStatus/ FileActiveStatus</t>
  </si>
  <si>
    <t>文件安装状态/文件激活状态</t>
  </si>
  <si>
    <t>0x00 success
0x01 fail
0x02 Installing
0x03 Verifying (Activating)
0x04 Installation failed
0x05 Verification Failure (Activation Failure)</t>
  </si>
  <si>
    <t>0x00 成功
0x01 其他失败
0x02 安装中
0x03 校验中（激活中）
0x04 安装失败
0x05 校验失败（激活失败）</t>
  </si>
  <si>
    <t>8~15</t>
  </si>
  <si>
    <t>Installation Progress (or Verification Activation Progress) Percentage</t>
  </si>
  <si>
    <t>安装进度（或校验激活进度）百分比</t>
  </si>
  <si>
    <t>0</t>
  </si>
  <si>
    <t>% (percent)</t>
  </si>
  <si>
    <t>0xF0F1</t>
  </si>
  <si>
    <t>UpdateTriedCounter</t>
  </si>
  <si>
    <t>刷写尝试计数器</t>
  </si>
  <si>
    <t>参考主机厂刷写规范
固定值全0</t>
  </si>
  <si>
    <t>0xF0F3</t>
  </si>
  <si>
    <t>DependecyCheckSuccessCounter</t>
  </si>
  <si>
    <t>编程依赖检查成功计数器</t>
  </si>
  <si>
    <t>0xFD32</t>
  </si>
  <si>
    <t>OEM Electronic Label</t>
  </si>
  <si>
    <t>主机厂电子标签</t>
  </si>
  <si>
    <t>参考《主机厂公司电子标签规范V4.01》</t>
  </si>
  <si>
    <t>0xF150</t>
  </si>
  <si>
    <t>OBD Agent Status</t>
  </si>
  <si>
    <t>诊断代理模式标志</t>
  </si>
  <si>
    <t>0x00 27 Agent off
0x01 27 Agent on</t>
  </si>
  <si>
    <t>0x00 诊断代理模式未开启
0x01 诊断代理模式已开启</t>
  </si>
  <si>
    <t>参考主机厂诊断安全规范</t>
  </si>
  <si>
    <t>采用《智选车诊断安全解决方案》</t>
  </si>
  <si>
    <t>0xF151</t>
  </si>
  <si>
    <t>Current OBD Security Access Status</t>
  </si>
  <si>
    <t>安全访问模式标记</t>
  </si>
  <si>
    <t>0x00 Secure Access Mode Off
0x01 Secure Access Mode On</t>
  </si>
  <si>
    <t>0x00 安全访问模式关闭
0x01 安全访问模式开启</t>
  </si>
  <si>
    <t>0xF152</t>
  </si>
  <si>
    <t>OBD Authorized File Status</t>
  </si>
  <si>
    <t>诊断授权文件有效状态</t>
  </si>
  <si>
    <t>0x00 Invalid Authorization File
0x01 Valid Authorization File</t>
  </si>
  <si>
    <t>0x00 诊断授权文件无效
0x01 诊断授权文件有效</t>
  </si>
  <si>
    <t>0xF15B</t>
  </si>
  <si>
    <t>Default OBD Security Access Status</t>
  </si>
  <si>
    <t>安全访问模式切换标记</t>
  </si>
  <si>
    <t>0xF153</t>
  </si>
  <si>
    <t>Read socid of the device</t>
  </si>
  <si>
    <t>读取SoCID</t>
  </si>
  <si>
    <t>参考主机厂一车一授权规范</t>
  </si>
  <si>
    <t>采用《智选车一车一授权设计文档》</t>
  </si>
  <si>
    <t>0xF15A</t>
  </si>
  <si>
    <t>Read Nonce for Secure Upgrade</t>
  </si>
  <si>
    <t>读取Nounce</t>
  </si>
  <si>
    <t>0xF155</t>
  </si>
  <si>
    <t>Status of Authorized Upgrade flag</t>
  </si>
  <si>
    <t>读取一车一授权使能状态</t>
  </si>
  <si>
    <t>0x00 Authorization not started
0x01 Authorization started</t>
  </si>
  <si>
    <t>0x00 未启动授权
0x01 已启动授权</t>
  </si>
  <si>
    <t>0xF156</t>
  </si>
  <si>
    <t>Status of Authorized Upgrade file</t>
  </si>
  <si>
    <t>读取一车一授权写入状态</t>
  </si>
  <si>
    <t>0x00 Authorization File Written Successfully
0x01 Authorization File Written Unsuccessfully</t>
  </si>
  <si>
    <t>0x00 授权文件写入成功
0x01 授权文件写入失败</t>
  </si>
  <si>
    <t>0xF157</t>
  </si>
  <si>
    <t>Trust ring status</t>
  </si>
  <si>
    <t>信任环状态</t>
  </si>
  <si>
    <t>01 Blank state
02 Authentication relationship establishing
03 Failed to establish the authentication relationship
04 The authentication relationship is successfully established
05 The authentication relationship is abnormal</t>
  </si>
  <si>
    <t>01 空白状态
02 设备认证关系建立中
03 设备认证关系建立失败
04 设备认证关系建立成功
05 设备认证关系异常</t>
  </si>
  <si>
    <t>参考主机厂信任环技术规范</t>
  </si>
  <si>
    <t xml:space="preserve">采用《智选车信任环解决方案设计文档》
</t>
  </si>
  <si>
    <t>0xF15C</t>
  </si>
  <si>
    <t>Key filling status</t>
  </si>
  <si>
    <t>密钥灌装状态</t>
  </si>
  <si>
    <t>00 Unfilled 2701Key
01 Filled 2701Key</t>
  </si>
  <si>
    <t>00 未灌装2701Key
01 已灌装2701Key</t>
  </si>
  <si>
    <t>参考主机厂密钥灌装规范</t>
  </si>
  <si>
    <t>采用《智选车关键ECU密钥灌装设计文档》</t>
  </si>
  <si>
    <t>0xF158</t>
  </si>
  <si>
    <t>Read the OEM ID</t>
  </si>
  <si>
    <t>读取车厂身份ID</t>
  </si>
  <si>
    <t>0xF083</t>
  </si>
  <si>
    <t>Read certificate store status</t>
  </si>
  <si>
    <t>读取证书存储状态</t>
  </si>
  <si>
    <t>00 Reserved
01 root CA and terminal CA exist
02 root CA exist, but terminal CA not exist
03 root CA not exist，but terminal CA exist
04 two CA are not exist
05 Hardware error
06 unknown error</t>
  </si>
  <si>
    <t>00 保留
01 存在根CA和终端CA
02 根CA存在，但终端CA不存在
03 根CA不存在，终端CA存在
04 两个CA不存在
05 硬件错误（预留）
06 未知错误</t>
  </si>
  <si>
    <t>参考《设备证书设计规范》</t>
  </si>
  <si>
    <t>0xF084</t>
  </si>
  <si>
    <t>Read certificate validity status</t>
  </si>
  <si>
    <t>读取证书有效状态</t>
  </si>
  <si>
    <t>00 Reserved
01 CA Effectived
02 CA has expired
03 CA has been revoked
04 CAs not match
05 unknown error</t>
  </si>
  <si>
    <t>00 保留
01 CA生效
02 CA已过期
03 CA已被撤销
04 CA不匹配
05 未知错误</t>
  </si>
  <si>
    <t>0xF085</t>
  </si>
  <si>
    <t>Read the valid time of the device certificate</t>
  </si>
  <si>
    <t>读取设备证书有效时间</t>
  </si>
  <si>
    <t>0xF086</t>
  </si>
  <si>
    <t>Read device certificate serial number</t>
  </si>
  <si>
    <t>读取设备证书序列号</t>
  </si>
  <si>
    <t>64</t>
  </si>
  <si>
    <t>0xF087</t>
  </si>
  <si>
    <t>Read device certificate CN domain</t>
  </si>
  <si>
    <t>读取设备证书CN域</t>
  </si>
  <si>
    <t>0xF088</t>
  </si>
  <si>
    <t>Read device certificate version</t>
  </si>
  <si>
    <t>读取设备证书版本</t>
  </si>
  <si>
    <t>01 Testing version
02 Production version</t>
  </si>
  <si>
    <t>01 测试版本
02 生产版本</t>
  </si>
  <si>
    <t>0xF092</t>
  </si>
  <si>
    <t>TLS certificate working mode</t>
  </si>
  <si>
    <t>TLS工作开关</t>
  </si>
  <si>
    <t xml:space="preserve">0x00 working without TLS
0x01 working with TLS </t>
  </si>
  <si>
    <t>证书灌装完成后，进行工作模式切换；工作模式切换为用户模式后，不能切换回工厂模式；
车机产线默认是0；</t>
  </si>
  <si>
    <t>0xF1D7</t>
  </si>
  <si>
    <t>Master/Slave status</t>
  </si>
  <si>
    <t>以太网主从状态</t>
  </si>
  <si>
    <t>0-7</t>
  </si>
  <si>
    <t>port number #1</t>
  </si>
  <si>
    <t>端口号</t>
  </si>
  <si>
    <t>主从状态</t>
  </si>
  <si>
    <t>00 MASTER
01 SLAVE</t>
  </si>
  <si>
    <t>0xF1E7</t>
  </si>
  <si>
    <t>SQI</t>
  </si>
  <si>
    <t>以太网信号质量</t>
  </si>
  <si>
    <t>信号质量值</t>
  </si>
  <si>
    <t>7</t>
  </si>
  <si>
    <t>0xF1EE</t>
  </si>
  <si>
    <t>Test mode status</t>
  </si>
  <si>
    <t>以太网测试模式</t>
  </si>
  <si>
    <t>00 mode1
01 mode2
02 mode3
03 mode4
04 mode5
05 no test mode</t>
  </si>
  <si>
    <t>0xF186</t>
  </si>
  <si>
    <t>Active diagnostic session</t>
  </si>
  <si>
    <t>激活诊断会话</t>
  </si>
  <si>
    <t>0x01 - Default
0x02 - Programming
0x03 - Extended</t>
  </si>
  <si>
    <t>0x01 - 默认会话
0x02 - 编程会话
0x03 - 扩展会话</t>
  </si>
  <si>
    <t>RAM</t>
  </si>
  <si>
    <t>测试需求</t>
  </si>
  <si>
    <t>填写要求：
1.单个部件ECU请按照分配好的DID区段进行填写；有下拉框单元格，只能选择下拉框的内容；
2.空白的单元格请使用“/”进行填充；
3.DID/RID码段：0x8200-0x823F</t>
  </si>
  <si>
    <t>0x8201</t>
  </si>
  <si>
    <t>Input voltage</t>
  </si>
  <si>
    <t>板端输入电压</t>
  </si>
  <si>
    <t>0x8202</t>
  </si>
  <si>
    <t>Learning status</t>
  </si>
  <si>
    <t>自学习状态</t>
  </si>
  <si>
    <t>00 未自学习
01 单轨学习成功
02 双轨自学习成功
03 学习中</t>
  </si>
  <si>
    <t>0x8203</t>
  </si>
  <si>
    <t>Clear learning status</t>
  </si>
  <si>
    <t>清除自学习</t>
  </si>
  <si>
    <t>W</t>
  </si>
  <si>
    <t>FF=Clear Backrest Self-learning status</t>
  </si>
  <si>
    <t>0X8204</t>
  </si>
  <si>
    <t>Internal fault</t>
  </si>
  <si>
    <t>ECU内部故障/状态</t>
  </si>
  <si>
    <t>0-1</t>
  </si>
  <si>
    <t>0-15</t>
  </si>
  <si>
    <t>Fault Code</t>
  </si>
  <si>
    <t>故障码</t>
  </si>
  <si>
    <t>从Bit0~Bit9，依次为：过流-过温-过压-欠压-外部CAN故障-内部CAN故障-同步故障-堵转故障-HALL故障-预驱故障，bit10~bit15预留</t>
  </si>
  <si>
    <t>3~4</t>
  </si>
  <si>
    <t>Speed</t>
  </si>
  <si>
    <t>速度</t>
  </si>
  <si>
    <t>RPM</t>
  </si>
  <si>
    <t>Phase Current</t>
  </si>
  <si>
    <t>相电流</t>
  </si>
  <si>
    <t>0.1A</t>
  </si>
  <si>
    <t>NTC Value</t>
  </si>
  <si>
    <t>NTC值</t>
  </si>
  <si>
    <t>°C</t>
  </si>
  <si>
    <t>Time</t>
  </si>
  <si>
    <t>故障发生时时间-年</t>
  </si>
  <si>
    <t>故障发生时时间-月</t>
  </si>
  <si>
    <t>故障发生时时间-日</t>
  </si>
  <si>
    <t>故障发生时时间-时</t>
  </si>
  <si>
    <t>故障发生时时间-分</t>
  </si>
  <si>
    <t>故障发生时时间-秒</t>
  </si>
  <si>
    <t>12</t>
  </si>
  <si>
    <t>0x823F</t>
  </si>
  <si>
    <t>Snapshot</t>
  </si>
  <si>
    <t>快照信息</t>
  </si>
  <si>
    <t>2-3</t>
  </si>
  <si>
    <t>Position</t>
  </si>
  <si>
    <t>位置</t>
  </si>
  <si>
    <t>mm</t>
  </si>
  <si>
    <t>4-5</t>
  </si>
  <si>
    <t>6-7</t>
  </si>
  <si>
    <t>8</t>
  </si>
  <si>
    <t>0xCF00</t>
  </si>
  <si>
    <t>Battery Voltage</t>
  </si>
  <si>
    <t>电池电压（ECU供电电压）</t>
  </si>
  <si>
    <t>电压</t>
  </si>
  <si>
    <t>V (volt)</t>
  </si>
  <si>
    <t>0xCF01</t>
  </si>
  <si>
    <t>Vehicle Speed</t>
  </si>
  <si>
    <t>故障发生时车速</t>
  </si>
  <si>
    <t>车速</t>
  </si>
  <si>
    <t>Km/h</t>
  </si>
  <si>
    <t>0xCF03</t>
  </si>
  <si>
    <t>Odometer</t>
  </si>
  <si>
    <t>故障发生时里程</t>
  </si>
  <si>
    <t>0-2</t>
  </si>
  <si>
    <t>0-23</t>
  </si>
  <si>
    <t>里程</t>
  </si>
  <si>
    <t>13</t>
  </si>
  <si>
    <t>0xCF05</t>
  </si>
  <si>
    <t>故障发生时间</t>
  </si>
  <si>
    <t>0xCF0A</t>
  </si>
  <si>
    <t>High Voltage Power Status</t>
  </si>
  <si>
    <t>高压状态</t>
  </si>
  <si>
    <t>0xCF0B</t>
  </si>
  <si>
    <t>VIU UsageMode</t>
  </si>
  <si>
    <t>整车用户模式</t>
  </si>
  <si>
    <t>VIU_UsageMode</t>
  </si>
  <si>
    <t>0x0:Abandoned
0x1:Inactive
0x2:convenience
0x3: Driving
0x4:OTAUpdating
0x5:Remote
0x6:RemoteDriving
0x7~0xE:reserved
0xF:Invalid</t>
  </si>
  <si>
    <t>以下DID为供应商内部使用，OEM用不到，不需要做进诊断仪</t>
  </si>
  <si>
    <t>0x823A</t>
  </si>
  <si>
    <t>Write speed</t>
  </si>
  <si>
    <t>测功写转速（单）</t>
  </si>
  <si>
    <t>CW/CCW</t>
  </si>
  <si>
    <t>正反转</t>
  </si>
  <si>
    <t>00 = Stop
01 = CW
02=CCW</t>
  </si>
  <si>
    <t>00 = 停止
01 = 正转
02=反转</t>
  </si>
  <si>
    <t xml:space="preserve">Motor Speed </t>
  </si>
  <si>
    <t>电机转速</t>
  </si>
  <si>
    <t>00=0rpm
01=400rpm
02=1334rpm
03=1667rpm
04=2000rpm
05=2667rpm
06=4000rpm
07=5334rpm
08= 10000rpm(开环)</t>
  </si>
  <si>
    <t>0x823B</t>
  </si>
  <si>
    <t>Self-learning</t>
  </si>
  <si>
    <t>自学习执行（单）</t>
  </si>
  <si>
    <t>Linear Hall self-learning</t>
  </si>
  <si>
    <t>线性Hall自学习</t>
  </si>
  <si>
    <t>0xFF</t>
  </si>
  <si>
    <t>00 线性霍尔自学习
01 单轨自学习</t>
  </si>
  <si>
    <t>0x823C</t>
  </si>
  <si>
    <t>MOS temp</t>
  </si>
  <si>
    <t>MOS温度</t>
  </si>
  <si>
    <t>° (degree)</t>
  </si>
  <si>
    <t>physical value = raw value -40</t>
  </si>
  <si>
    <t>9</t>
  </si>
  <si>
    <t>0x823D</t>
  </si>
  <si>
    <t>Linear Hall self-learning status</t>
  </si>
  <si>
    <t>线性Hall自学习状态（单）</t>
  </si>
  <si>
    <t>线性Hall自学习状态</t>
  </si>
  <si>
    <t>00=failure
01=succeed</t>
  </si>
  <si>
    <t>00=fail
01=succeed</t>
  </si>
  <si>
    <t>10</t>
  </si>
  <si>
    <t>0x823E</t>
  </si>
  <si>
    <t>Single Slide Rail Movement</t>
  </si>
  <si>
    <t>单滑轨听音</t>
  </si>
  <si>
    <t>Target Position</t>
  </si>
  <si>
    <t>目标位置</t>
  </si>
  <si>
    <t>0x0：0%
0x1：1%
0x2：2%
0x63：99%
0x64：100%
Front=0
Back=100
0x65~0xFF：Invalid</t>
  </si>
  <si>
    <t>Snapshot填写（不支持0x22服务的Snapshot请填写在下方，支持0x22服务的Snapshot请填写在上方）</t>
  </si>
  <si>
    <t>填写要求：
1.单个部件ECU请按照分配好的DID区段进行填写；有下拉框单元格，只能选择下拉框的内容；
2.空白的单元格请使用“/”进行填充;
3.DID/RID码段：0x6F80-0x6FFF</t>
  </si>
  <si>
    <t>Demo
填写示例</t>
  </si>
  <si>
    <t>0x6F80</t>
  </si>
  <si>
    <t>ECU Configuration</t>
  </si>
  <si>
    <t>ECU部件配置字</t>
  </si>
  <si>
    <t>Second-row left swivel seat</t>
  </si>
  <si>
    <t>二排左旋转座椅</t>
  </si>
  <si>
    <t>0x0 Not Support
0x1 Support</t>
  </si>
  <si>
    <t>0x0 无
0x1 有</t>
  </si>
  <si>
    <t>Second-row right swivel seat</t>
  </si>
  <si>
    <t>二排右旋转座椅</t>
  </si>
  <si>
    <t>DID(Hex)
DID号</t>
  </si>
  <si>
    <t>InputOutputControlParameter
输入输出控制参数</t>
  </si>
  <si>
    <t>ControlState in request message
请求报文中的控制状态</t>
  </si>
  <si>
    <t>conditions
条件</t>
  </si>
  <si>
    <t>ControlEnableMaskRecord
控制掩码</t>
  </si>
  <si>
    <t>ControlStateRecord in positive response message
肯定响应报文中的控制状态记录</t>
  </si>
  <si>
    <t>Message Example
报文示例</t>
  </si>
  <si>
    <t>Remarks
备注</t>
  </si>
  <si>
    <t>DataType
数据类型</t>
  </si>
  <si>
    <t>8205</t>
  </si>
  <si>
    <t>Longrail Comfort adjust forward&amp;Backward</t>
  </si>
  <si>
    <t>长滑轨向前/向后调节</t>
  </si>
  <si>
    <t>Forward</t>
  </si>
  <si>
    <t>向前</t>
  </si>
  <si>
    <t>0 Stop
1 Forward</t>
  </si>
  <si>
    <t>0 停止
1 向前</t>
  </si>
  <si>
    <t xml:space="preserve">请求：2F 82 05 03 01 （向前）
响应：6F 82 05 03 01
请求：2F 82 05 03 02 （向后）
响应：6F 82 05 03 02
请求：2F 82 05 03 00 （停止）
响应：6F 82 05 03 00
</t>
  </si>
  <si>
    <t>Backward</t>
  </si>
  <si>
    <t>向后</t>
  </si>
  <si>
    <t>0 Stop
1 Backward</t>
  </si>
  <si>
    <t>0 停止
1 向后</t>
  </si>
  <si>
    <t>2-7</t>
  </si>
  <si>
    <t>保留</t>
  </si>
  <si>
    <t>DID Number (hex)</t>
  </si>
  <si>
    <t>DID Name</t>
  </si>
  <si>
    <t>RWState</t>
  </si>
  <si>
    <t>Parameter</t>
  </si>
  <si>
    <t>BytePos (from 0)</t>
  </si>
  <si>
    <t>BitPos</t>
  </si>
  <si>
    <t>BitLength</t>
  </si>
  <si>
    <r>
      <rPr>
        <b/>
        <sz val="12"/>
        <rFont val="Calibri"/>
        <charset val="134"/>
      </rPr>
      <t>MethodType</t>
    </r>
    <r>
      <rPr>
        <b/>
        <sz val="12"/>
        <rFont val="宋体"/>
        <charset val="134"/>
      </rPr>
      <t>（是否可以加下拉框）</t>
    </r>
  </si>
  <si>
    <t>Unit</t>
  </si>
  <si>
    <t>DID Name(Chinese)</t>
  </si>
  <si>
    <t>Parameter(Chinese)</t>
  </si>
  <si>
    <t>Application</t>
  </si>
  <si>
    <t>Boot Loader</t>
  </si>
  <si>
    <t>Secturity Level</t>
  </si>
  <si>
    <t>Comment</t>
  </si>
  <si>
    <t>Vehicle Identification Number</t>
  </si>
  <si>
    <t>type=identical</t>
  </si>
  <si>
    <t>-</t>
  </si>
  <si>
    <t>车辆唯一识别码</t>
  </si>
  <si>
    <r>
      <rPr>
        <sz val="12"/>
        <rFont val="宋体"/>
        <charset val="134"/>
      </rPr>
      <t>参数识别码</t>
    </r>
  </si>
  <si>
    <t>N/A</t>
  </si>
  <si>
    <t>R/L0 W/L1</t>
  </si>
  <si>
    <t>Part Number</t>
  </si>
  <si>
    <t>零件号</t>
  </si>
  <si>
    <t>R/L0</t>
  </si>
  <si>
    <t>0xF183</t>
  </si>
  <si>
    <t>Bootloader Software Version Number</t>
  </si>
  <si>
    <t>ECU name</t>
  </si>
  <si>
    <r>
      <rPr>
        <sz val="12"/>
        <rFont val="Calibri"/>
        <charset val="134"/>
      </rPr>
      <t>bootl</t>
    </r>
    <r>
      <rPr>
        <sz val="12"/>
        <rFont val="宋体"/>
        <charset val="134"/>
      </rPr>
      <t>软件版本号</t>
    </r>
  </si>
  <si>
    <r>
      <rPr>
        <sz val="12"/>
        <rFont val="Calibri"/>
        <charset val="134"/>
      </rPr>
      <t>ECU</t>
    </r>
    <r>
      <rPr>
        <sz val="12"/>
        <rFont val="宋体"/>
        <charset val="134"/>
      </rPr>
      <t>名称</t>
    </r>
  </si>
  <si>
    <t xml:space="preserve">BootLoader  Year </t>
  </si>
  <si>
    <t>MSB/LSB UNSIGNED</t>
  </si>
  <si>
    <t>type=BCD</t>
  </si>
  <si>
    <t>Year</t>
  </si>
  <si>
    <t>日期·年</t>
  </si>
  <si>
    <t>BootLoader     Month</t>
  </si>
  <si>
    <t>Month</t>
  </si>
  <si>
    <t>日期·月</t>
  </si>
  <si>
    <t>BootLoader    Day</t>
  </si>
  <si>
    <t>Day</t>
  </si>
  <si>
    <t>日期·日</t>
  </si>
  <si>
    <t>BootLoader  version</t>
  </si>
  <si>
    <t>版本号</t>
  </si>
  <si>
    <t>Application Software Fingerprint</t>
  </si>
  <si>
    <t xml:space="preserve"> Fingerprint Year </t>
  </si>
  <si>
    <t>应用软甲指纹</t>
  </si>
  <si>
    <t>R/L0 W/L2</t>
  </si>
  <si>
    <t xml:space="preserve"> Fingerprint   Month</t>
  </si>
  <si>
    <t xml:space="preserve"> Fingerprint   Day</t>
  </si>
  <si>
    <t>Tester serial number</t>
  </si>
  <si>
    <t>诊断仪串号</t>
  </si>
  <si>
    <t>Supplier Code</t>
  </si>
  <si>
    <t xml:space="preserve">R/L0 </t>
  </si>
  <si>
    <t>0xF191</t>
  </si>
  <si>
    <t>ECU Hardware version number</t>
  </si>
  <si>
    <t>space</t>
  </si>
  <si>
    <r>
      <rPr>
        <sz val="12"/>
        <rFont val="Calibri"/>
        <charset val="134"/>
      </rPr>
      <t>ECU</t>
    </r>
    <r>
      <rPr>
        <sz val="12"/>
        <rFont val="宋体"/>
        <charset val="134"/>
      </rPr>
      <t>硬件版本号</t>
    </r>
  </si>
  <si>
    <r>
      <rPr>
        <sz val="12"/>
        <rFont val="Calibri"/>
        <charset val="134"/>
      </rPr>
      <t>E</t>
    </r>
    <r>
      <rPr>
        <sz val="12"/>
        <rFont val="宋体"/>
        <charset val="134"/>
      </rPr>
      <t>cu硬件版本号</t>
    </r>
  </si>
  <si>
    <t>ECU Software version number</t>
  </si>
  <si>
    <r>
      <rPr>
        <sz val="12"/>
        <rFont val="Calibri"/>
        <charset val="134"/>
      </rPr>
      <t>ECU</t>
    </r>
    <r>
      <rPr>
        <sz val="12"/>
        <rFont val="宋体"/>
        <charset val="134"/>
      </rPr>
      <t>软件版本号</t>
    </r>
  </si>
  <si>
    <t>填充空格</t>
  </si>
  <si>
    <t>Main software version</t>
  </si>
  <si>
    <t>主软件版本：S</t>
  </si>
  <si>
    <t>version number</t>
  </si>
  <si>
    <t>Minor software version</t>
  </si>
  <si>
    <t>次软件版本：.</t>
  </si>
  <si>
    <t>0xF18E</t>
  </si>
  <si>
    <t>Parts assembly number</t>
  </si>
  <si>
    <t>零部件总成号</t>
  </si>
  <si>
    <t>F1A1</t>
  </si>
  <si>
    <t>VehicleConfiguration</t>
  </si>
  <si>
    <t>车辆配置</t>
  </si>
  <si>
    <t>依据使用场景在修改</t>
  </si>
  <si>
    <t>F030</t>
  </si>
  <si>
    <t>ProjectCode</t>
  </si>
  <si>
    <t>项目编号</t>
  </si>
  <si>
    <t>F031</t>
  </si>
  <si>
    <t>VehicleMode</t>
  </si>
  <si>
    <t>整车模式</t>
  </si>
  <si>
    <t>IOControlParam</t>
  </si>
  <si>
    <t>Req/Resp</t>
  </si>
  <si>
    <t>IO ID name(Chinese)</t>
  </si>
  <si>
    <t>security level</t>
  </si>
  <si>
    <t>conditions</t>
  </si>
  <si>
    <t>填写说明：
1.本页灰色部分不能删减，差异项黄色背景标注；单个部件ECU请；有下拉框单元格，只能选择下拉框的内容；
2.单个部件ECU如有新增的RID，请按照分配好的DID区段进行填写，空白的单元格请使用“/”进行填充；
3.DID/RID码段：0x8200-0x823F</t>
  </si>
  <si>
    <t>RoutineDID
例程DID</t>
  </si>
  <si>
    <t>RID Description English 
RID描述（英文）</t>
  </si>
  <si>
    <t>RID Description Chinese 
RID描述（中文）</t>
  </si>
  <si>
    <t>RoutineControlType
例程控制类型</t>
  </si>
  <si>
    <t>Subfuction
子功能</t>
  </si>
  <si>
    <t>routineControlOptionRecord
例程控制选项</t>
  </si>
  <si>
    <t>routineStatusRecord
例程状态</t>
  </si>
  <si>
    <t>Security  Level
安全等级</t>
  </si>
  <si>
    <t>Conditions
条件</t>
  </si>
  <si>
    <t>Limited Time for Routine
例程时间限制</t>
  </si>
  <si>
    <t>0x0203</t>
  </si>
  <si>
    <t>checkProgrammingPreconditions</t>
  </si>
  <si>
    <t>检查编程条件</t>
  </si>
  <si>
    <t>0x01 StartRoutine</t>
  </si>
  <si>
    <r>
      <rPr>
        <sz val="10"/>
        <color theme="1"/>
        <rFont val="宋体"/>
        <charset val="134"/>
        <scheme val="minor"/>
      </rPr>
      <t xml:space="preserve">0x00 Success
0x01 Other fails
0x02 The voltage is abnormal
0x03 The vehicle speed is abnormal
</t>
    </r>
    <r>
      <rPr>
        <strike/>
        <sz val="10"/>
        <color rgb="FFFF0000"/>
        <rFont val="宋体"/>
        <charset val="134"/>
        <scheme val="minor"/>
      </rPr>
      <t>0x04 Engine(or motor) running exception occures</t>
    </r>
    <r>
      <rPr>
        <sz val="10"/>
        <color theme="1"/>
        <rFont val="宋体"/>
        <charset val="134"/>
        <scheme val="minor"/>
      </rPr>
      <t xml:space="preserve">
0x05 The gear is not in the P state</t>
    </r>
  </si>
  <si>
    <r>
      <rPr>
        <sz val="10"/>
        <color theme="1"/>
        <rFont val="宋体"/>
        <charset val="134"/>
        <scheme val="minor"/>
      </rPr>
      <t xml:space="preserve">0x00 成功
0x01 其他失败
0x02 电压异常
0x03 车速异常
</t>
    </r>
    <r>
      <rPr>
        <sz val="10"/>
        <color rgb="FFFF0000"/>
        <rFont val="宋体"/>
        <charset val="134"/>
        <scheme val="minor"/>
      </rPr>
      <t xml:space="preserve">0x04 </t>
    </r>
    <r>
      <rPr>
        <strike/>
        <sz val="10"/>
        <color rgb="FFFF0000"/>
        <rFont val="宋体"/>
        <charset val="134"/>
        <scheme val="minor"/>
      </rPr>
      <t>发动机（或电机）运行异常</t>
    </r>
    <r>
      <rPr>
        <sz val="10"/>
        <color rgb="FFFF0000"/>
        <rFont val="宋体"/>
        <charset val="134"/>
        <scheme val="minor"/>
      </rPr>
      <t>预留</t>
    </r>
    <r>
      <rPr>
        <sz val="10"/>
        <color theme="1"/>
        <rFont val="宋体"/>
        <charset val="134"/>
        <scheme val="minor"/>
      </rPr>
      <t xml:space="preserve">
0x05 挡位未在P挡</t>
    </r>
  </si>
  <si>
    <t>0x00 correctResult
0x01 incorrectResult
0x02~0x0F reserved</t>
  </si>
  <si>
    <t>0x00 结果正确
0x01 结果不正确
0x02~0x0F 预留</t>
  </si>
  <si>
    <t>1.OTA=Updating || “OTA!=Update &amp;&amp; Speed&lt;3kph 车速&lt;3kph ”                           &amp;&amp;
2.ECU 电压在正常范围</t>
  </si>
  <si>
    <r>
      <rPr>
        <sz val="10"/>
        <color theme="1"/>
        <rFont val="宋体"/>
        <charset val="134"/>
        <scheme val="minor"/>
      </rPr>
      <t xml:space="preserve">来源：参考《主机厂智选车刷写规范》
仅用于刷写
</t>
    </r>
    <r>
      <rPr>
        <sz val="10"/>
        <color rgb="FFFF0000"/>
        <rFont val="宋体"/>
        <charset val="134"/>
        <scheme val="minor"/>
      </rPr>
      <t>此例程31服务无NRC22（车速不满足，不回复NRC22，回复正响应03）</t>
    </r>
  </si>
  <si>
    <t>0x02 StopRoutine</t>
  </si>
  <si>
    <t>0x03 RequestRoutineResults</t>
  </si>
  <si>
    <t>0xFF00</t>
  </si>
  <si>
    <t>eraseMemory</t>
  </si>
  <si>
    <t>擦除内存</t>
  </si>
  <si>
    <t>All</t>
  </si>
  <si>
    <t>AddressAndLenthFormatIdentifier</t>
  </si>
  <si>
    <t>数据起始地址和长度</t>
  </si>
  <si>
    <t>来源：参考《主机厂智选车刷写规范》
仅用于刷写</t>
  </si>
  <si>
    <t>`1-4</t>
  </si>
  <si>
    <t>MemoryAddress</t>
  </si>
  <si>
    <t>内存地址</t>
  </si>
  <si>
    <t>0x00 Successfully reased
0x01 The flash fails to be erased</t>
  </si>
  <si>
    <t>0x00 擦除成功
0x01 擦除失败</t>
  </si>
  <si>
    <t>`5-8</t>
  </si>
  <si>
    <t>MemorySize</t>
  </si>
  <si>
    <t>内存大小</t>
  </si>
  <si>
    <t>0xFF01</t>
  </si>
  <si>
    <t>checkProgrammingDependencies</t>
  </si>
  <si>
    <t>检查编程依赖性</t>
  </si>
  <si>
    <t>0x00 Successful
0x01 Other failure causes
0x02 Software and hardware are not compatible
0x03 Software and configuration files are not compatible
0x04 Software and calibrated data are not compatible</t>
  </si>
  <si>
    <t>0x00 成功
0x01 其他失败
0x02 软件和硬件不兼容
0x03 软件和配置文件不兼容
0x04 软件和标定数据不兼容</t>
  </si>
  <si>
    <t>0xDD01</t>
  </si>
  <si>
    <t>StayInBoot</t>
  </si>
  <si>
    <t>保持在Boot程序</t>
  </si>
  <si>
    <t>0xDD02</t>
  </si>
  <si>
    <t>Security signature verification</t>
  </si>
  <si>
    <t>安全签名校验</t>
  </si>
  <si>
    <t>0x00 Verification is successful
0x01 Verification of the supplier signature fails
0x02 Vertification of the OEM signatyre fails
0x03 Verification fails because the keys do not exist</t>
  </si>
  <si>
    <t>0x00 成功
0x01 供应商签名校验失败
0x02 主机厂签名校验失败 
0x03 失败，密钥不存在</t>
  </si>
  <si>
    <t>0xDD03</t>
  </si>
  <si>
    <t>Version Installation</t>
  </si>
  <si>
    <t>版本安装</t>
  </si>
  <si>
    <t>0x00 Success
0x01 Failure</t>
  </si>
  <si>
    <t>0x00 成功
0x01 失败</t>
  </si>
  <si>
    <t>0xDD04</t>
  </si>
  <si>
    <t>Version switch</t>
  </si>
  <si>
    <t>版本切换</t>
  </si>
  <si>
    <t>0x00 The switchover is successful
0x01 The switchover fails</t>
  </si>
  <si>
    <t>30min</t>
  </si>
  <si>
    <t>0x00 The version switchover is successful
0x01 The version switchover fails
0x02 The version is being switched</t>
  </si>
  <si>
    <t>0x00 切区完成
0x01 切区失败
0x02 切区中</t>
  </si>
  <si>
    <t>0x00 correctResult
0x01 incorrectResult
0x03 progressing</t>
  </si>
  <si>
    <t>0x00 结果正确
0x01 结果不正确
0x03 正在进行</t>
  </si>
  <si>
    <t>0xDD0F</t>
  </si>
  <si>
    <t>Prevent Autocut</t>
  </si>
  <si>
    <t>阻止自动切区</t>
  </si>
  <si>
    <t>0xDD10</t>
  </si>
  <si>
    <t>CAN network segment communication control</t>
  </si>
  <si>
    <t>CAN网段通讯控制</t>
  </si>
  <si>
    <t>ControlType</t>
  </si>
  <si>
    <t>控制类型</t>
  </si>
  <si>
    <t xml:space="preserve">00 enableRxAndTx
01 enableRxAndDisableTx
02 disableRxAndEnableTx
03 disableRxAndTx
</t>
  </si>
  <si>
    <t>CanBusNo</t>
  </si>
  <si>
    <t>Can总线序号</t>
  </si>
  <si>
    <t>00 Bus 0
01 Bus 1
02 Bus 2
03 Bus 3
03-FF Resvered</t>
  </si>
  <si>
    <t>MessageType</t>
  </si>
  <si>
    <t>消息类型</t>
  </si>
  <si>
    <t>0x01 mormalCommunication0x02 networkManagementCommunicationMessages
0x03 networkManagementCommunicationMessages and mormalCommunicationMessages</t>
  </si>
  <si>
    <t>0xDD38</t>
  </si>
  <si>
    <t>Trigger the establishment of a trust ring</t>
  </si>
  <si>
    <t>触发信任环建立</t>
  </si>
  <si>
    <t>来源：参考《智选车信任环解决方案设计文档》</t>
  </si>
  <si>
    <t>0xDD39</t>
  </si>
  <si>
    <t>Reads the initial information about the trust ring</t>
  </si>
  <si>
    <t>读取信任环初始信息</t>
  </si>
  <si>
    <t>0xDD3A</t>
  </si>
  <si>
    <t>Writing a Signed Trust Ring</t>
  </si>
  <si>
    <t>写入签名信任环</t>
  </si>
  <si>
    <t>0xDD40</t>
  </si>
  <si>
    <t>Filling 2701Key</t>
  </si>
  <si>
    <t>灌装2701Key</t>
  </si>
  <si>
    <t>0xDD41</t>
  </si>
  <si>
    <t>Filling SK</t>
  </si>
  <si>
    <t>灌装SK</t>
  </si>
  <si>
    <t>0xDD42</t>
  </si>
  <si>
    <t>Filling SecOC</t>
  </si>
  <si>
    <t>灌装SecOC</t>
  </si>
  <si>
    <t>0xDD43</t>
  </si>
  <si>
    <t>Filling 2709Key</t>
  </si>
  <si>
    <t>灌装2709Key</t>
  </si>
  <si>
    <t>0xDD44</t>
  </si>
  <si>
    <t>Filling KeySet</t>
  </si>
  <si>
    <t>灌装KeySet</t>
  </si>
  <si>
    <t>0x8206</t>
  </si>
  <si>
    <t>双轨自学习</t>
  </si>
  <si>
    <t>Trip Learning</t>
  </si>
  <si>
    <t>FF Start Learning</t>
  </si>
  <si>
    <t>FF 开始自学习</t>
  </si>
  <si>
    <t>Learning Result Check</t>
  </si>
  <si>
    <t>查询学习结果</t>
  </si>
  <si>
    <t>00 No Learning History
01 Single Side Learned
02 Both Side Learned
03 Under Learning</t>
  </si>
  <si>
    <t xml:space="preserve">00 未自学习
01 单轨学习成功
02 双轨学习成功
03 学习中
</t>
  </si>
  <si>
    <t>也使用03.2.ECU DID中的0x8203查询学习是否成功</t>
  </si>
  <si>
    <t>RID Number (hex)</t>
  </si>
  <si>
    <t>RID Name</t>
  </si>
  <si>
    <t>RID name(Chinese)</t>
  </si>
  <si>
    <t>01</t>
  </si>
  <si>
    <t>CheckPreprogramConditon</t>
  </si>
  <si>
    <t>Req</t>
  </si>
  <si>
    <t>预编程环境检查</t>
  </si>
  <si>
    <t>Level1</t>
  </si>
  <si>
    <t>Extend Session</t>
  </si>
  <si>
    <t>StartRoutine</t>
  </si>
  <si>
    <t>Resp</t>
  </si>
  <si>
    <t>当前未实装，和升级功能实现一起实装</t>
  </si>
  <si>
    <t>Start Erase Memory</t>
  </si>
  <si>
    <t>AddressAndLength FormatIdentifier</t>
  </si>
  <si>
    <t>Level3</t>
  </si>
  <si>
    <t>Programming Session</t>
  </si>
  <si>
    <t>routine result01</t>
  </si>
  <si>
    <t>MSB/LSB BITPATTERN</t>
  </si>
  <si>
    <t>type=texttable
0x00=correctResult
0x01=incorrectResult</t>
  </si>
  <si>
    <t>0x0202</t>
  </si>
  <si>
    <t>Start checkRoutine</t>
  </si>
  <si>
    <t>CRC32 value</t>
  </si>
  <si>
    <t>完整性校验</t>
  </si>
  <si>
    <t>CheckProgrammingDependencies</t>
  </si>
  <si>
    <t>编程依赖性检查</t>
  </si>
  <si>
    <t>填写要求：
本页由部件ECU负责填写，填写具体的支持情况，选择Y或者N；</t>
  </si>
  <si>
    <t>GroupOfDTC
DTC群组</t>
  </si>
  <si>
    <t>Service ID
服务ID</t>
  </si>
  <si>
    <t>GroupOfDTC
故障码群组</t>
  </si>
  <si>
    <t>Support
是否支持</t>
  </si>
  <si>
    <t>ClearDiagnosticInformation
清除故障信息</t>
  </si>
  <si>
    <t>0xFFFF33</t>
  </si>
  <si>
    <t>排放相关系统</t>
  </si>
  <si>
    <t>0x100000</t>
  </si>
  <si>
    <t xml:space="preserve">动力组 </t>
  </si>
  <si>
    <t>0x400000</t>
  </si>
  <si>
    <t xml:space="preserve">底盘组 </t>
  </si>
  <si>
    <t>0x800000</t>
  </si>
  <si>
    <t>车身组</t>
  </si>
  <si>
    <t>0xC00000</t>
  </si>
  <si>
    <t xml:space="preserve">网络通信组 </t>
  </si>
  <si>
    <t>0xFFFFFF</t>
  </si>
  <si>
    <t>所有组（所有 DTC）</t>
  </si>
  <si>
    <t>Single DTC3</t>
  </si>
  <si>
    <t>自定义支持的可清除的DTC</t>
  </si>
  <si>
    <t>Other groups3</t>
  </si>
  <si>
    <t>自定义支持的可清除的DTC组</t>
  </si>
  <si>
    <t>DTC Status
DTC状态</t>
  </si>
  <si>
    <t>Bit Field
位字段</t>
  </si>
  <si>
    <t>Bit Description
描述</t>
  </si>
  <si>
    <t>Bit State Definition
状态描述</t>
  </si>
  <si>
    <t>Support
支持状态</t>
  </si>
  <si>
    <t>Remarks
约束</t>
  </si>
  <si>
    <t>Test failed
测试失效</t>
  </si>
  <si>
    <t>0=False
1=True</t>
  </si>
  <si>
    <t>Test failed this monitoring cycle
本检测周期测试失效</t>
  </si>
  <si>
    <t>Pending DTC
等待DTC</t>
  </si>
  <si>
    <t>Confirmed DTC
确认DTC</t>
  </si>
  <si>
    <t>Test not completed since last clear
上次清零后测试未完成</t>
  </si>
  <si>
    <t>Test failed since last clear
上次清零后测试失效</t>
  </si>
  <si>
    <t>Test not completed this monitoring cycle
本检测周期测试未完成</t>
  </si>
  <si>
    <t>Warning indicator requested
警告指示位请求</t>
  </si>
  <si>
    <t>备注：
1、bit0置1且bit3置1为当前故障；bit3置1且bit0置0为历史故障，其他状态位由供应商确认是否实现；
2、如果故障产生涉及报警提示，需置位bit7</t>
  </si>
  <si>
    <t xml:space="preserve">填写要求：
1.每个单元格：第一行英文必填，第二行本地语言选填，英文和本地语言之间必须换行；
2.本页由部件ECU负责填写，按照Demo示例的格式进行填写；空白的单元格请使用“/”进行填充；
3.DTC码段：B2980~B29BF
                      U2BD0~U2BDF        </t>
  </si>
  <si>
    <t>故障等级：
等级1：不影响车辆正常行驶的故障，对驾驶员无感知；
等级2：影响车辆性能，车辆性能或功能降级，但未完全失效，需要车主限制车辆行驶或
充电，以及影响车主可见的功能无法正常使用；
等级3：驾驶员应立即停车处理或请求救援。</t>
  </si>
  <si>
    <t>DTC Number
故障码</t>
  </si>
  <si>
    <t>DTC Byte(hex)
故障码字节</t>
  </si>
  <si>
    <t>DTC Description
故障描述</t>
  </si>
  <si>
    <t>Failure Type 
故障类型</t>
  </si>
  <si>
    <t>VHR远程故障监控信息</t>
  </si>
  <si>
    <t>Level
等级</t>
  </si>
  <si>
    <t>Lamp Flag
故障警示</t>
  </si>
  <si>
    <t>DTC Record Criteria
DTC记录前提条件</t>
  </si>
  <si>
    <t>Monitor Type
检测类型</t>
  </si>
  <si>
    <t>Monitor Rate
检测频率</t>
  </si>
  <si>
    <t>Test Failed criteria/ Confirmation Failure criteria
故障判定条件</t>
  </si>
  <si>
    <t>Mature Time
故障确认时间（或次数）</t>
  </si>
  <si>
    <t>System Action
故障保护措施（功能降级的要求）</t>
  </si>
  <si>
    <t>Test Pass Criteria
系统恢复正常判定条件</t>
  </si>
  <si>
    <t>De  mature Time
恢复时间</t>
  </si>
  <si>
    <t>Clear DTC
故障码清除方法</t>
  </si>
  <si>
    <t>Parent  DTC  
父级 DTC</t>
  </si>
  <si>
    <t>Possible Fault Causes
故障可能原因</t>
  </si>
  <si>
    <t>Repair Action
维修建议</t>
  </si>
  <si>
    <t>DTC Aging Support
是否支持老化</t>
  </si>
  <si>
    <t>Aging Cycle Counter Threshold
老化循环计数限值</t>
  </si>
  <si>
    <t>Comment
备注</t>
  </si>
  <si>
    <t>High
高</t>
  </si>
  <si>
    <t>Middle
中</t>
  </si>
  <si>
    <t>Low
低</t>
  </si>
  <si>
    <t>English
英文</t>
  </si>
  <si>
    <t>Chinese
中文</t>
  </si>
  <si>
    <r>
      <rPr>
        <b/>
        <sz val="10"/>
        <color indexed="8"/>
        <rFont val="Arial"/>
        <charset val="134"/>
      </rPr>
      <t>VHR Supplier Code Num</t>
    </r>
    <r>
      <rPr>
        <b/>
        <sz val="10"/>
        <color rgb="FF000000"/>
        <rFont val="微软雅黑"/>
        <charset val="134"/>
      </rPr>
      <t xml:space="preserve">
</t>
    </r>
    <r>
      <rPr>
        <b/>
        <sz val="10"/>
        <color indexed="8"/>
        <rFont val="Arial"/>
        <charset val="134"/>
      </rPr>
      <t xml:space="preserve">VHR </t>
    </r>
    <r>
      <rPr>
        <b/>
        <sz val="10"/>
        <color rgb="FF000000"/>
        <rFont val="微软雅黑"/>
        <charset val="134"/>
      </rPr>
      <t>供应商映射编码</t>
    </r>
  </si>
  <si>
    <r>
      <rPr>
        <b/>
        <sz val="10"/>
        <color indexed="8"/>
        <rFont val="Arial"/>
        <charset val="134"/>
      </rPr>
      <t>VHR FaultNum
VHR</t>
    </r>
    <r>
      <rPr>
        <b/>
        <sz val="10"/>
        <color rgb="FF000000"/>
        <rFont val="微软雅黑"/>
        <charset val="134"/>
      </rPr>
      <t>故障内部编号</t>
    </r>
  </si>
  <si>
    <r>
      <rPr>
        <b/>
        <sz val="10"/>
        <color indexed="8"/>
        <rFont val="Arial"/>
        <charset val="134"/>
      </rPr>
      <t>VHR FaultNum</t>
    </r>
    <r>
      <rPr>
        <b/>
        <sz val="10"/>
        <color rgb="FF000000"/>
        <rFont val="微软雅黑"/>
        <charset val="134"/>
      </rPr>
      <t>（十进制数）</t>
    </r>
    <r>
      <rPr>
        <b/>
        <sz val="10"/>
        <color indexed="8"/>
        <rFont val="Arial"/>
        <charset val="134"/>
      </rPr>
      <t xml:space="preserve">
</t>
    </r>
    <r>
      <rPr>
        <b/>
        <sz val="10"/>
        <color rgb="FF000000"/>
        <rFont val="微软雅黑"/>
        <charset val="134"/>
      </rPr>
      <t>故障内部编号</t>
    </r>
  </si>
  <si>
    <t>B111717</t>
  </si>
  <si>
    <t>Seat Voltage too high</t>
  </si>
  <si>
    <t>高压</t>
  </si>
  <si>
    <t>电压故障</t>
  </si>
  <si>
    <t>Voltage Faults</t>
  </si>
  <si>
    <t>3级</t>
  </si>
  <si>
    <t>1）ECU唤醒后，网络激活后延时1.5s
2）85 02未被激活</t>
  </si>
  <si>
    <t>Continuous</t>
  </si>
  <si>
    <t>10ms</t>
  </si>
  <si>
    <r>
      <rPr>
        <sz val="10"/>
        <color theme="1"/>
        <rFont val="宋体"/>
        <charset val="134"/>
      </rPr>
      <t>电压值大于</t>
    </r>
    <r>
      <rPr>
        <sz val="10"/>
        <color theme="1"/>
        <rFont val="Arial"/>
        <charset val="134"/>
      </rPr>
      <t>16.5V</t>
    </r>
  </si>
  <si>
    <t>1000ms</t>
  </si>
  <si>
    <t>停止电机输出</t>
  </si>
  <si>
    <r>
      <rPr>
        <sz val="10"/>
        <color theme="1"/>
        <rFont val="宋体"/>
        <charset val="134"/>
      </rPr>
      <t>电压值小于</t>
    </r>
    <r>
      <rPr>
        <sz val="10"/>
        <color theme="1"/>
        <rFont val="Arial"/>
        <charset val="134"/>
      </rPr>
      <t>16V</t>
    </r>
  </si>
  <si>
    <t>500ms</t>
  </si>
  <si>
    <t>1.14 FF FF FF
2.故障自恢复</t>
  </si>
  <si>
    <t>外部电源供电</t>
  </si>
  <si>
    <t>查供电电源</t>
  </si>
  <si>
    <t>supported</t>
  </si>
  <si>
    <t>40 operation cycles</t>
  </si>
  <si>
    <t>B111716</t>
  </si>
  <si>
    <t>Seat Voltage too low</t>
  </si>
  <si>
    <t>低压</t>
  </si>
  <si>
    <r>
      <rPr>
        <sz val="10"/>
        <color theme="1"/>
        <rFont val="宋体"/>
        <charset val="134"/>
      </rPr>
      <t>电压值小于</t>
    </r>
    <r>
      <rPr>
        <sz val="10"/>
        <color theme="1"/>
        <rFont val="Arial"/>
        <charset val="134"/>
      </rPr>
      <t>8.5V</t>
    </r>
  </si>
  <si>
    <r>
      <rPr>
        <sz val="10"/>
        <color theme="1"/>
        <rFont val="宋体"/>
        <charset val="134"/>
      </rPr>
      <t>电压值大于</t>
    </r>
    <r>
      <rPr>
        <sz val="10"/>
        <color theme="1"/>
        <rFont val="Arial"/>
        <charset val="134"/>
      </rPr>
      <t>9V</t>
    </r>
  </si>
  <si>
    <t>U007388</t>
  </si>
  <si>
    <t>C0</t>
  </si>
  <si>
    <t>VIU3_CAN2  Seat bus off</t>
  </si>
  <si>
    <t>VIU3_CAN2总线通讯故障</t>
  </si>
  <si>
    <t>通讯故障</t>
  </si>
  <si>
    <t>Network Faults</t>
  </si>
  <si>
    <r>
      <rPr>
        <sz val="10"/>
        <color theme="1"/>
        <rFont val="宋体"/>
        <charset val="134"/>
      </rPr>
      <t>1）</t>
    </r>
    <r>
      <rPr>
        <strike/>
        <sz val="10"/>
        <color theme="1"/>
        <rFont val="宋体"/>
        <charset val="134"/>
      </rPr>
      <t>ECU唤醒后，网络激活后延时1.5s</t>
    </r>
    <r>
      <rPr>
        <sz val="10"/>
        <color theme="1"/>
        <rFont val="宋体"/>
        <charset val="134"/>
      </rPr>
      <t>IG ON后2s；</t>
    </r>
    <r>
      <rPr>
        <sz val="10"/>
        <color rgb="FFFF0000"/>
        <rFont val="宋体"/>
        <charset val="134"/>
      </rPr>
      <t>（通过通讯矩阵中“整车电源模式”判断）</t>
    </r>
    <r>
      <rPr>
        <sz val="10"/>
        <color theme="1"/>
        <rFont val="宋体"/>
        <charset val="134"/>
      </rPr>
      <t xml:space="preserve">
2）在正常电压范围内
3）85 02未被激活
</t>
    </r>
  </si>
  <si>
    <t>连续8次Bus off ，且没有报文成功发送，则需要记录 Bus off 的 DTC</t>
  </si>
  <si>
    <r>
      <rPr>
        <strike/>
        <sz val="10"/>
        <color rgb="FFFF0000"/>
        <rFont val="宋体"/>
        <charset val="134"/>
      </rPr>
      <t xml:space="preserve">8次
</t>
    </r>
    <r>
      <rPr>
        <sz val="10"/>
        <color rgb="FFFF0000"/>
        <rFont val="宋体"/>
        <charset val="134"/>
      </rPr>
      <t xml:space="preserve">Immediately
立即
</t>
    </r>
  </si>
  <si>
    <r>
      <rPr>
        <sz val="10"/>
        <color theme="1"/>
        <rFont val="宋体"/>
        <charset val="134"/>
        <scheme val="minor"/>
      </rPr>
      <t>CAN总线通讯关闭</t>
    </r>
    <r>
      <rPr>
        <sz val="10"/>
        <color rgb="FFFF0000"/>
        <rFont val="宋体"/>
        <charset val="134"/>
        <scheme val="minor"/>
      </rPr>
      <t>&amp;停止电机输出</t>
    </r>
  </si>
  <si>
    <t>总线报文成功发送</t>
  </si>
  <si>
    <t>立即</t>
  </si>
  <si>
    <t>Can线束开路</t>
  </si>
  <si>
    <t>检测CAN线束连接</t>
  </si>
  <si>
    <t>B298019</t>
  </si>
  <si>
    <t>A9</t>
  </si>
  <si>
    <t>Motor open load</t>
  </si>
  <si>
    <t>电机开路</t>
  </si>
  <si>
    <t>电机故障</t>
  </si>
  <si>
    <t>Actuator Faults</t>
  </si>
  <si>
    <t>1级</t>
  </si>
  <si>
    <t>1）ECU唤醒后，网络激活后延时1.5s
2）在正常电压范围内
3）电机不动
4）85 02未被激活</t>
  </si>
  <si>
    <r>
      <rPr>
        <sz val="10"/>
        <color theme="1"/>
        <rFont val="微软雅黑"/>
        <charset val="134"/>
      </rPr>
      <t>检测预驱</t>
    </r>
    <r>
      <rPr>
        <sz val="10"/>
        <color theme="1"/>
        <rFont val="宋体"/>
        <charset val="134"/>
      </rPr>
      <t>故障标志</t>
    </r>
  </si>
  <si>
    <r>
      <rPr>
        <sz val="10"/>
        <color theme="1"/>
        <rFont val="Arial"/>
        <charset val="134"/>
      </rPr>
      <t xml:space="preserve">Immediately
</t>
    </r>
    <r>
      <rPr>
        <sz val="10"/>
        <color theme="1"/>
        <rFont val="微软雅黑"/>
        <charset val="134"/>
      </rPr>
      <t>立即</t>
    </r>
  </si>
  <si>
    <t>检测预驱故障标志无故障</t>
  </si>
  <si>
    <t>电机，板子</t>
  </si>
  <si>
    <t>换BLDC总成</t>
  </si>
  <si>
    <t>B298118</t>
  </si>
  <si>
    <t>Motor over current</t>
  </si>
  <si>
    <t>电机过流</t>
  </si>
  <si>
    <t xml:space="preserve">1）ECU唤醒后，网络激活后延时1.5s
2）在正常电压范围内
3）电机动
4）85 02未被激活
</t>
  </si>
  <si>
    <r>
      <rPr>
        <sz val="10"/>
        <color theme="1"/>
        <rFont val="微软雅黑"/>
        <charset val="134"/>
      </rPr>
      <t>大于</t>
    </r>
    <r>
      <rPr>
        <sz val="10"/>
        <color theme="1"/>
        <rFont val="Arial"/>
        <charset val="134"/>
      </rPr>
      <t>30A</t>
    </r>
    <r>
      <rPr>
        <sz val="10"/>
        <color theme="1"/>
        <rFont val="宋体"/>
        <charset val="134"/>
      </rPr>
      <t>（</t>
    </r>
    <r>
      <rPr>
        <sz val="10"/>
        <color theme="1"/>
        <rFont val="Arial"/>
        <charset val="134"/>
      </rPr>
      <t>Vds=0.45V</t>
    </r>
    <r>
      <rPr>
        <sz val="10"/>
        <color theme="1"/>
        <rFont val="宋体"/>
        <charset val="134"/>
      </rPr>
      <t>）持续8.75</t>
    </r>
    <r>
      <rPr>
        <sz val="10"/>
        <color theme="1"/>
        <rFont val="Arial"/>
        <charset val="134"/>
      </rPr>
      <t>us</t>
    </r>
  </si>
  <si>
    <t>Immediately
立即</t>
  </si>
  <si>
    <t>B298217</t>
  </si>
  <si>
    <r>
      <t xml:space="preserve">Hall </t>
    </r>
    <r>
      <rPr>
        <sz val="10"/>
        <color theme="1"/>
        <rFont val="宋体"/>
        <charset val="134"/>
      </rPr>
      <t>故障</t>
    </r>
  </si>
  <si>
    <t>霍尔故障</t>
  </si>
  <si>
    <t>Sensor Faults</t>
  </si>
  <si>
    <t xml:space="preserve">1）ECU唤醒后，网络激活后延时1.5s
2）在正常电压范围内
3）85 02未被激活
</t>
  </si>
  <si>
    <r>
      <rPr>
        <sz val="10"/>
        <color theme="1"/>
        <rFont val="宋体"/>
        <charset val="134"/>
      </rPr>
      <t>Hall AD采样不在正常范围内</t>
    </r>
    <r>
      <rPr>
        <strike/>
        <sz val="10"/>
        <color theme="1"/>
        <rFont val="宋体"/>
        <charset val="134"/>
      </rPr>
      <t>（0.2V-4.8V）</t>
    </r>
    <r>
      <rPr>
        <sz val="10"/>
        <color theme="1"/>
        <rFont val="宋体"/>
        <charset val="134"/>
      </rPr>
      <t>（0.1V-4.9V）</t>
    </r>
  </si>
  <si>
    <t>AD采样正常</t>
  </si>
  <si>
    <t>多次尝试，一直故障换硬件</t>
  </si>
  <si>
    <t>B298316</t>
  </si>
  <si>
    <r>
      <t>ECU (LDO) Over temp or</t>
    </r>
    <r>
      <rPr>
        <sz val="10"/>
        <color theme="1"/>
        <rFont val="Arial"/>
        <charset val="134"/>
      </rPr>
      <t xml:space="preserve">
ECU (MOS) Over temp</t>
    </r>
  </si>
  <si>
    <t>ECU过温保护</t>
  </si>
  <si>
    <t>过温故障</t>
  </si>
  <si>
    <t xml:space="preserve">1）ECU唤醒后，网络激活后延时1.5s
2）在正常电压范围内
3）85 02未被激活
</t>
  </si>
  <si>
    <r>
      <rPr>
        <strike/>
        <sz val="10"/>
        <color theme="1"/>
        <rFont val="宋体"/>
        <charset val="134"/>
      </rPr>
      <t>LDO大于110deg持续500ms or</t>
    </r>
    <r>
      <rPr>
        <sz val="10"/>
        <color theme="1"/>
        <rFont val="宋体"/>
        <charset val="134"/>
      </rPr>
      <t xml:space="preserve">
</t>
    </r>
    <r>
      <rPr>
        <strike/>
        <sz val="10"/>
        <color theme="1"/>
        <rFont val="宋体"/>
        <charset val="134"/>
      </rPr>
      <t>MOS大于130deg持续10ms</t>
    </r>
    <r>
      <rPr>
        <sz val="10"/>
        <color theme="1"/>
        <rFont val="宋体"/>
        <charset val="134"/>
      </rPr>
      <t xml:space="preserve">
MOS大于115deg持续5s</t>
    </r>
  </si>
  <si>
    <r>
      <rPr>
        <sz val="10"/>
        <color theme="1"/>
        <rFont val="宋体"/>
        <charset val="134"/>
      </rPr>
      <t>小于95deg持续</t>
    </r>
    <r>
      <rPr>
        <strike/>
        <sz val="10"/>
        <color theme="1"/>
        <rFont val="宋体"/>
        <charset val="134"/>
      </rPr>
      <t>500ms</t>
    </r>
    <r>
      <rPr>
        <sz val="10"/>
        <color theme="1"/>
        <rFont val="宋体"/>
        <charset val="134"/>
      </rPr>
      <t>30s</t>
    </r>
  </si>
  <si>
    <t>不调节电机，等待降温</t>
  </si>
  <si>
    <t>B28061C</t>
  </si>
  <si>
    <t>A8</t>
  </si>
  <si>
    <t>1C</t>
  </si>
  <si>
    <t>Precrash failure</t>
  </si>
  <si>
    <r>
      <rPr>
        <strike/>
        <sz val="10"/>
        <color theme="1"/>
        <rFont val="Arial"/>
        <charset val="134"/>
      </rPr>
      <t>Precrash</t>
    </r>
    <r>
      <rPr>
        <strike/>
        <sz val="10"/>
        <color theme="1"/>
        <rFont val="宋体"/>
        <charset val="134"/>
      </rPr>
      <t>失效</t>
    </r>
  </si>
  <si>
    <t>precrash前提条件的电压不满足</t>
  </si>
  <si>
    <t>Other Faults</t>
  </si>
  <si>
    <t xml:space="preserve">1）KL30 on后1500ms
2）在正常电压范围内
</t>
  </si>
  <si>
    <r>
      <rPr>
        <strike/>
        <sz val="10"/>
        <color theme="1"/>
        <rFont val="宋体"/>
        <charset val="134"/>
      </rPr>
      <t>电压值小于</t>
    </r>
    <r>
      <rPr>
        <strike/>
        <sz val="10"/>
        <color theme="1"/>
        <rFont val="Arial"/>
        <charset val="134"/>
      </rPr>
      <t>10V</t>
    </r>
    <r>
      <rPr>
        <strike/>
        <sz val="10"/>
        <color theme="1"/>
        <rFont val="宋体"/>
        <charset val="134"/>
      </rPr>
      <t>持续</t>
    </r>
    <r>
      <rPr>
        <strike/>
        <sz val="10"/>
        <color theme="1"/>
        <rFont val="Arial"/>
        <charset val="134"/>
      </rPr>
      <t>1000ms</t>
    </r>
  </si>
  <si>
    <t>precrash无法工作</t>
  </si>
  <si>
    <r>
      <rPr>
        <strike/>
        <sz val="10"/>
        <color theme="1"/>
        <rFont val="宋体"/>
        <charset val="134"/>
      </rPr>
      <t>电压值大于</t>
    </r>
    <r>
      <rPr>
        <strike/>
        <sz val="10"/>
        <color theme="1"/>
        <rFont val="Arial"/>
        <charset val="134"/>
      </rPr>
      <t>10V</t>
    </r>
    <r>
      <rPr>
        <strike/>
        <sz val="10"/>
        <color theme="1"/>
        <rFont val="宋体"/>
        <charset val="134"/>
      </rPr>
      <t>且</t>
    </r>
    <r>
      <rPr>
        <strike/>
        <sz val="10"/>
        <color theme="1"/>
        <rFont val="宋体"/>
        <charset val="134"/>
      </rPr>
      <t>持续</t>
    </r>
    <r>
      <rPr>
        <strike/>
        <sz val="10"/>
        <color theme="1"/>
        <rFont val="Arial"/>
        <charset val="134"/>
      </rPr>
      <t>1000ms</t>
    </r>
  </si>
  <si>
    <t>U021087</t>
  </si>
  <si>
    <t>C2</t>
  </si>
  <si>
    <t>Lost Communication With RLSM</t>
  </si>
  <si>
    <t>与RLSM失去通讯</t>
  </si>
  <si>
    <t>网络故障</t>
  </si>
  <si>
    <r>
      <rPr>
        <sz val="10"/>
        <color theme="1"/>
        <rFont val="宋体"/>
        <charset val="134"/>
      </rPr>
      <t>1.在正常的工作电压范围内
2.</t>
    </r>
    <r>
      <rPr>
        <strike/>
        <sz val="10"/>
        <color theme="1"/>
        <rFont val="宋体"/>
        <charset val="134"/>
      </rPr>
      <t>ECU唤醒后，网络激活后延时1.5s</t>
    </r>
    <r>
      <rPr>
        <sz val="10"/>
        <color theme="1"/>
        <rFont val="宋体"/>
        <charset val="134"/>
      </rPr>
      <t>IG ON后2s；</t>
    </r>
    <r>
      <rPr>
        <sz val="10"/>
        <color rgb="FFFF0000"/>
        <rFont val="宋体"/>
        <charset val="134"/>
      </rPr>
      <t>（通过通讯矩阵中“整车电源模式”判断）</t>
    </r>
    <r>
      <rPr>
        <sz val="10"/>
        <color theme="1"/>
        <rFont val="宋体"/>
        <charset val="134"/>
      </rPr>
      <t xml:space="preserve">
3.未处于BUSOFF状态
4.85 02未被激活
5.</t>
    </r>
    <r>
      <rPr>
        <strike/>
        <sz val="10"/>
        <color theme="1"/>
        <rFont val="宋体"/>
        <charset val="134"/>
      </rPr>
      <t>28 03未被激活</t>
    </r>
  </si>
  <si>
    <r>
      <rPr>
        <sz val="10"/>
        <color theme="1"/>
        <rFont val="微软雅黑"/>
        <charset val="134"/>
      </rPr>
      <t>当</t>
    </r>
    <r>
      <rPr>
        <sz val="10"/>
        <color theme="1"/>
        <rFont val="Arial"/>
        <charset val="134"/>
      </rPr>
      <t>ECU</t>
    </r>
    <r>
      <rPr>
        <sz val="10"/>
        <color theme="1"/>
        <rFont val="微软雅黑"/>
        <charset val="134"/>
      </rPr>
      <t>报文发送周期</t>
    </r>
    <r>
      <rPr>
        <sz val="10"/>
        <color theme="1"/>
        <rFont val="Arial"/>
        <charset val="134"/>
      </rPr>
      <t>T</t>
    </r>
    <r>
      <rPr>
        <sz val="10"/>
        <color theme="1"/>
        <rFont val="Cambria Math"/>
        <charset val="134"/>
      </rPr>
      <t>≤</t>
    </r>
    <r>
      <rPr>
        <sz val="10"/>
        <color theme="1"/>
        <rFont val="Arial"/>
        <charset val="134"/>
      </rPr>
      <t>500ms</t>
    </r>
    <r>
      <rPr>
        <sz val="10"/>
        <color theme="1"/>
        <rFont val="微软雅黑"/>
        <charset val="134"/>
      </rPr>
      <t>时，连续</t>
    </r>
    <r>
      <rPr>
        <sz val="10"/>
        <color theme="1"/>
        <rFont val="Arial"/>
        <charset val="134"/>
      </rPr>
      <t>10</t>
    </r>
    <r>
      <rPr>
        <sz val="10"/>
        <color theme="1"/>
        <rFont val="微软雅黑"/>
        <charset val="134"/>
      </rPr>
      <t>倍周期未检测到报文，即记录</t>
    </r>
    <r>
      <rPr>
        <sz val="10"/>
        <color theme="1"/>
        <rFont val="Arial"/>
        <charset val="134"/>
      </rPr>
      <t>DTC</t>
    </r>
    <r>
      <rPr>
        <sz val="10"/>
        <color theme="1"/>
        <rFont val="微软雅黑"/>
        <charset val="134"/>
      </rPr>
      <t xml:space="preserve">码；
</t>
    </r>
    <r>
      <rPr>
        <sz val="10"/>
        <color theme="1"/>
        <rFont val="Arial"/>
        <charset val="134"/>
      </rPr>
      <t>RLSM</t>
    </r>
    <r>
      <rPr>
        <sz val="10"/>
        <color theme="1"/>
        <rFont val="微软雅黑"/>
        <charset val="134"/>
      </rPr>
      <t>与</t>
    </r>
    <r>
      <rPr>
        <sz val="10"/>
        <color theme="1"/>
        <rFont val="Arial"/>
        <charset val="134"/>
      </rPr>
      <t>LSSM_RL</t>
    </r>
    <r>
      <rPr>
        <sz val="10"/>
        <color theme="1"/>
        <rFont val="微软雅黑"/>
        <charset val="134"/>
      </rPr>
      <t>交互</t>
    </r>
    <r>
      <rPr>
        <sz val="10"/>
        <color theme="1"/>
        <rFont val="Arial"/>
        <charset val="134"/>
      </rPr>
      <t xml:space="preserve">ID: 0x2C1; 
</t>
    </r>
    <r>
      <rPr>
        <sz val="10"/>
        <color theme="1"/>
        <rFont val="微软雅黑"/>
        <charset val="134"/>
      </rPr>
      <t>当</t>
    </r>
    <r>
      <rPr>
        <sz val="10"/>
        <color theme="1"/>
        <rFont val="Arial"/>
        <charset val="134"/>
      </rPr>
      <t>ECU</t>
    </r>
    <r>
      <rPr>
        <sz val="10"/>
        <color theme="1"/>
        <rFont val="微软雅黑"/>
        <charset val="134"/>
      </rPr>
      <t>报文发送周期</t>
    </r>
    <r>
      <rPr>
        <sz val="10"/>
        <color theme="1"/>
        <rFont val="Arial"/>
        <charset val="134"/>
      </rPr>
      <t>T&gt;500ms</t>
    </r>
    <r>
      <rPr>
        <sz val="10"/>
        <color theme="1"/>
        <rFont val="微软雅黑"/>
        <charset val="134"/>
      </rPr>
      <t>时，连续</t>
    </r>
    <r>
      <rPr>
        <sz val="10"/>
        <color theme="1"/>
        <rFont val="Arial"/>
        <charset val="134"/>
      </rPr>
      <t>5000ms</t>
    </r>
    <r>
      <rPr>
        <sz val="10"/>
        <color theme="1"/>
        <rFont val="微软雅黑"/>
        <charset val="134"/>
      </rPr>
      <t>未检测到报文，即记录</t>
    </r>
    <r>
      <rPr>
        <sz val="10"/>
        <color theme="1"/>
        <rFont val="Arial"/>
        <charset val="134"/>
      </rPr>
      <t>DTC</t>
    </r>
    <r>
      <rPr>
        <sz val="10"/>
        <color theme="1"/>
        <rFont val="微软雅黑"/>
        <charset val="134"/>
      </rPr>
      <t xml:space="preserve">码；
</t>
    </r>
    <r>
      <rPr>
        <sz val="10"/>
        <color theme="1"/>
        <rFont val="Arial"/>
        <charset val="134"/>
      </rPr>
      <t>RLSM</t>
    </r>
    <r>
      <rPr>
        <sz val="10"/>
        <color theme="1"/>
        <rFont val="微软雅黑"/>
        <charset val="134"/>
      </rPr>
      <t>与</t>
    </r>
    <r>
      <rPr>
        <sz val="10"/>
        <color theme="1"/>
        <rFont val="Arial"/>
        <charset val="134"/>
      </rPr>
      <t>LSSM_RL</t>
    </r>
    <r>
      <rPr>
        <sz val="10"/>
        <color theme="1"/>
        <rFont val="微软雅黑"/>
        <charset val="134"/>
      </rPr>
      <t>交互</t>
    </r>
    <r>
      <rPr>
        <sz val="10"/>
        <color theme="1"/>
        <rFont val="Arial"/>
        <charset val="134"/>
      </rPr>
      <t xml:space="preserve">ID: 0x2C1; 
</t>
    </r>
  </si>
  <si>
    <r>
      <rPr>
        <strike/>
        <sz val="10"/>
        <color rgb="FFFF0000"/>
        <rFont val="Arial"/>
        <charset val="134"/>
      </rPr>
      <t>1000ms</t>
    </r>
    <r>
      <rPr>
        <sz val="10"/>
        <color rgb="FFFF0000"/>
        <rFont val="Arial"/>
        <charset val="134"/>
      </rPr>
      <t xml:space="preserve">
Immediately
</t>
    </r>
    <r>
      <rPr>
        <sz val="10"/>
        <color rgb="FFFF0000"/>
        <rFont val="宋体"/>
        <charset val="134"/>
      </rPr>
      <t>立即</t>
    </r>
  </si>
  <si>
    <t>当ECU接受到1帧监控报文，故障恢复</t>
  </si>
  <si>
    <t>1次</t>
  </si>
  <si>
    <t>1、老化40次自清除
2、UDS 0x14服务清除</t>
  </si>
  <si>
    <t>1、CAN线束问题
2、CAN硬件问题
3、SCU问题</t>
  </si>
  <si>
    <t>1.CAN总线开路
2.CAN总线对地或电源短路
3.CAN 总线高、低线短接
4.CAN总线被无线信号干扰
5.控制器故障供电、接地、自身故障
5.SCU是否正常发送报文</t>
  </si>
  <si>
    <t>只针对LSSM有效</t>
  </si>
  <si>
    <t>U021187</t>
  </si>
  <si>
    <t>11</t>
  </si>
  <si>
    <t>Lost Communication With RRSM</t>
  </si>
  <si>
    <t>与RRSM失去通讯</t>
  </si>
  <si>
    <r>
      <rPr>
        <sz val="10"/>
        <color theme="1"/>
        <rFont val="微软雅黑"/>
        <charset val="134"/>
      </rPr>
      <t>当</t>
    </r>
    <r>
      <rPr>
        <sz val="10"/>
        <color theme="1"/>
        <rFont val="Arial"/>
        <charset val="134"/>
      </rPr>
      <t>ECU</t>
    </r>
    <r>
      <rPr>
        <sz val="10"/>
        <color theme="1"/>
        <rFont val="微软雅黑"/>
        <charset val="134"/>
      </rPr>
      <t>报文发送周期</t>
    </r>
    <r>
      <rPr>
        <sz val="10"/>
        <color theme="1"/>
        <rFont val="Arial"/>
        <charset val="134"/>
      </rPr>
      <t>T</t>
    </r>
    <r>
      <rPr>
        <sz val="10"/>
        <color theme="1"/>
        <rFont val="Cambria Math"/>
        <charset val="134"/>
      </rPr>
      <t>≤</t>
    </r>
    <r>
      <rPr>
        <sz val="10"/>
        <color theme="1"/>
        <rFont val="Arial"/>
        <charset val="134"/>
      </rPr>
      <t>500ms</t>
    </r>
    <r>
      <rPr>
        <sz val="10"/>
        <color theme="1"/>
        <rFont val="微软雅黑"/>
        <charset val="134"/>
      </rPr>
      <t>时，连续</t>
    </r>
    <r>
      <rPr>
        <sz val="10"/>
        <color theme="1"/>
        <rFont val="Arial"/>
        <charset val="134"/>
      </rPr>
      <t>10</t>
    </r>
    <r>
      <rPr>
        <sz val="10"/>
        <color theme="1"/>
        <rFont val="微软雅黑"/>
        <charset val="134"/>
      </rPr>
      <t>倍周期未检测到报文，即记录</t>
    </r>
    <r>
      <rPr>
        <sz val="10"/>
        <color theme="1"/>
        <rFont val="Arial"/>
        <charset val="134"/>
      </rPr>
      <t>DTC</t>
    </r>
    <r>
      <rPr>
        <sz val="10"/>
        <color theme="1"/>
        <rFont val="微软雅黑"/>
        <charset val="134"/>
      </rPr>
      <t xml:space="preserve">码；
</t>
    </r>
    <r>
      <rPr>
        <sz val="10"/>
        <color theme="1"/>
        <rFont val="Arial"/>
        <charset val="134"/>
      </rPr>
      <t>RRSM</t>
    </r>
    <r>
      <rPr>
        <sz val="10"/>
        <color theme="1"/>
        <rFont val="微软雅黑"/>
        <charset val="134"/>
      </rPr>
      <t>与</t>
    </r>
    <r>
      <rPr>
        <sz val="10"/>
        <color theme="1"/>
        <rFont val="Arial"/>
        <charset val="134"/>
      </rPr>
      <t>LSSM_RR</t>
    </r>
    <r>
      <rPr>
        <sz val="10"/>
        <color theme="1"/>
        <rFont val="微软雅黑"/>
        <charset val="134"/>
      </rPr>
      <t>交互</t>
    </r>
    <r>
      <rPr>
        <sz val="10"/>
        <color theme="1"/>
        <rFont val="Arial"/>
        <charset val="134"/>
      </rPr>
      <t xml:space="preserve">ID: 0x2C3; 
</t>
    </r>
    <r>
      <rPr>
        <sz val="10"/>
        <color theme="1"/>
        <rFont val="微软雅黑"/>
        <charset val="134"/>
      </rPr>
      <t>当</t>
    </r>
    <r>
      <rPr>
        <sz val="10"/>
        <color theme="1"/>
        <rFont val="Arial"/>
        <charset val="134"/>
      </rPr>
      <t>ECU</t>
    </r>
    <r>
      <rPr>
        <sz val="10"/>
        <color theme="1"/>
        <rFont val="微软雅黑"/>
        <charset val="134"/>
      </rPr>
      <t>报文发送周期</t>
    </r>
    <r>
      <rPr>
        <sz val="10"/>
        <color theme="1"/>
        <rFont val="Arial"/>
        <charset val="134"/>
      </rPr>
      <t>T&gt;500ms</t>
    </r>
    <r>
      <rPr>
        <sz val="10"/>
        <color theme="1"/>
        <rFont val="微软雅黑"/>
        <charset val="134"/>
      </rPr>
      <t>时，连续</t>
    </r>
    <r>
      <rPr>
        <sz val="10"/>
        <color theme="1"/>
        <rFont val="Arial"/>
        <charset val="134"/>
      </rPr>
      <t>5000ms</t>
    </r>
    <r>
      <rPr>
        <sz val="10"/>
        <color theme="1"/>
        <rFont val="微软雅黑"/>
        <charset val="134"/>
      </rPr>
      <t>未检测到报文，即记录</t>
    </r>
    <r>
      <rPr>
        <sz val="10"/>
        <color theme="1"/>
        <rFont val="Arial"/>
        <charset val="134"/>
      </rPr>
      <t>DTC</t>
    </r>
    <r>
      <rPr>
        <sz val="10"/>
        <color theme="1"/>
        <rFont val="微软雅黑"/>
        <charset val="134"/>
      </rPr>
      <t xml:space="preserve">码；
</t>
    </r>
    <r>
      <rPr>
        <sz val="10"/>
        <color theme="1"/>
        <rFont val="Arial"/>
        <charset val="134"/>
      </rPr>
      <t>RRSM</t>
    </r>
    <r>
      <rPr>
        <sz val="10"/>
        <color theme="1"/>
        <rFont val="微软雅黑"/>
        <charset val="134"/>
      </rPr>
      <t>与</t>
    </r>
    <r>
      <rPr>
        <sz val="10"/>
        <color theme="1"/>
        <rFont val="Arial"/>
        <charset val="134"/>
      </rPr>
      <t>LSSM_RR</t>
    </r>
    <r>
      <rPr>
        <sz val="10"/>
        <color theme="1"/>
        <rFont val="微软雅黑"/>
        <charset val="134"/>
      </rPr>
      <t>交互</t>
    </r>
    <r>
      <rPr>
        <sz val="10"/>
        <color theme="1"/>
        <rFont val="Arial"/>
        <charset val="134"/>
      </rPr>
      <t xml:space="preserve">ID: 0x2C3; </t>
    </r>
  </si>
  <si>
    <t>U014887</t>
  </si>
  <si>
    <t>C1</t>
  </si>
  <si>
    <t>Lost Communication With VIU3</t>
  </si>
  <si>
    <t>与VIU3失去通讯</t>
  </si>
  <si>
    <t>网络通信-CAN-Timeout</t>
  </si>
  <si>
    <t>0xA</t>
  </si>
  <si>
    <r>
      <rPr>
        <sz val="10"/>
        <color theme="1"/>
        <rFont val="宋体"/>
        <charset val="134"/>
      </rPr>
      <t>1.IG ON for 2s；</t>
    </r>
    <r>
      <rPr>
        <sz val="10"/>
        <color rgb="FFFF0000"/>
        <rFont val="宋体"/>
        <charset val="134"/>
      </rPr>
      <t>（通过通讯矩阵中“整车电源模式”判断）</t>
    </r>
    <r>
      <rPr>
        <sz val="10"/>
        <color theme="1"/>
        <rFont val="宋体"/>
        <charset val="134"/>
      </rPr>
      <t xml:space="preserve">
1.IG ON后2s；
2.battery in normal voltage（9v-16v）or recovery from abnormal voltage for 500ms；
2.蓄电池电压正常（9V~16V）或从蓄电池电压异常恢复500ms后；
3.service $85_02 deactivate；
3.85 02未被激活；
4.NO Busoff detected；
4.未检测到CAN总线busoff故障；
</t>
    </r>
  </si>
  <si>
    <r>
      <rPr>
        <strike/>
        <sz val="10"/>
        <color theme="1"/>
        <rFont val="宋体"/>
        <charset val="134"/>
      </rPr>
      <t xml:space="preserve">If the message 0x3AE from the node VIU3 is invalid for 1000ms continuously
持续1000ms时间内，未收到VIU3发送的0x3AE报文
</t>
    </r>
    <r>
      <rPr>
        <sz val="10"/>
        <color theme="1"/>
        <rFont val="宋体"/>
        <charset val="134"/>
      </rPr>
      <t xml:space="preserve">
当ECU报文发送周期T≤500ms时，连续10倍周期未检测到报文，即记录DTC码；
VIU与LSSM交互ID: 0x3AE; 
</t>
    </r>
    <r>
      <rPr>
        <strike/>
        <sz val="10"/>
        <color theme="1"/>
        <rFont val="宋体"/>
        <charset val="134"/>
      </rPr>
      <t xml:space="preserve">当ECU报文发送周期T&gt;500ms时，连续5000ms未检测到报文，即记录DTC码；
RRSM与LSSM_RR交互ID: 0x2C3; </t>
    </r>
  </si>
  <si>
    <r>
      <rPr>
        <sz val="10"/>
        <rFont val="Arial"/>
        <charset val="134"/>
      </rPr>
      <t xml:space="preserve">Immediately
</t>
    </r>
    <r>
      <rPr>
        <sz val="10"/>
        <rFont val="宋体"/>
        <charset val="134"/>
      </rPr>
      <t>立即</t>
    </r>
  </si>
  <si>
    <t>If the ECU successfully receives a frame of message 0x3AE , it considers that the node timeout fault is rectified. 
ECU成功接收一帧0x3AE报文，故障恢复</t>
  </si>
  <si>
    <t>1.Aging 40 times Self Clean
老化40次自清除
2.UDS command(14 FF FF FF) clear
UDS命令清除</t>
  </si>
  <si>
    <t>CAN hardware error, include CAN-H&amp;CAN-L 
1、CAN硬件故障，包括CAN-H和CAN-L  
2、VIU3部件故障；
3、VIU3供电故障；</t>
  </si>
  <si>
    <t>1.check whether CAN-H short to CAN-L or not;
  CANH是否与CANL短路；
2.check whether CAN-H short to ground  or not;
  CANH是否短路到地；
3.check whether CAN-L short to battery or not
  CANL是否短路到电源；
4、更换VIU3；
5、排查VIU3供电；</t>
  </si>
  <si>
    <t>填写要求：
1. DTC支持三种填写方式：（1）ALL，指所有DTC对应同样的snapshot（2）单个DTC（3）多个DTC,指多个DTC对应同样的snapshot；填ALL时不可出现其他填写方式；
2. 本页由部件ECU负责填写，为每个DTC配置需要冻结的DID；空白的单元格请使用“/”进行填充;
3. DTC码段：B2800~B287F
            U2C00~U2C3F</t>
  </si>
  <si>
    <t>DTC  (hex)
故障码</t>
  </si>
  <si>
    <t>DTC Number
显示码</t>
  </si>
  <si>
    <t>DTC Naming
DTC名称</t>
  </si>
  <si>
    <t>Snapshot Record Num
快照记录号</t>
  </si>
  <si>
    <t>Data Identifier
数据标识符</t>
  </si>
  <si>
    <t>DID Description English
DID描述 英文</t>
  </si>
  <si>
    <t>DID Description Chinese
DID描述 中文</t>
  </si>
  <si>
    <t>01~02</t>
  </si>
  <si>
    <t>故障发生时间（年）</t>
  </si>
  <si>
    <t>故障发生时间（月）</t>
  </si>
  <si>
    <t>故障发生时间（日）</t>
  </si>
  <si>
    <t>故障发生时间（时）</t>
  </si>
  <si>
    <t>故障发生时间（分）</t>
  </si>
  <si>
    <t>故障发生时间（秒）</t>
  </si>
  <si>
    <t>High voltage power status</t>
  </si>
  <si>
    <t>填写说明：
1.本页由部件ECU负责填写，按照Demo示例的格式进行填写；
2.空白的单元格请使用“/”进行填充</t>
  </si>
  <si>
    <t>ExtendedDataRecordNumber(hex)
扩展数据记录号</t>
  </si>
  <si>
    <t>Parameter(English)
参数（英文）</t>
  </si>
  <si>
    <t>Parameter(Chinese)
参数（中文）</t>
  </si>
  <si>
    <t>Conversion
换算</t>
  </si>
  <si>
    <t>Default Value
默认值</t>
  </si>
  <si>
    <t>Min
最小值</t>
  </si>
  <si>
    <t>Max
最大值</t>
  </si>
  <si>
    <t>Occurrence Counter</t>
  </si>
  <si>
    <t>发生计数</t>
  </si>
  <si>
    <t>Failure forget counter</t>
  </si>
  <si>
    <t>故障老化计数</t>
  </si>
  <si>
    <t>Failure Occurrence Counter</t>
  </si>
  <si>
    <t>故障发生计数器</t>
  </si>
  <si>
    <t>Phy=XX</t>
  </si>
  <si>
    <t>1、溢出不会清0，一直保持255
2、老化后，再进行此值清0</t>
  </si>
  <si>
    <t>Failure Forget Counter</t>
  </si>
  <si>
    <t>整车上下电后，累计加1，达到40此后此值清0</t>
  </si>
  <si>
    <t>Diagnostic Questionnaire_Terms</t>
  </si>
  <si>
    <t>诊断调查问卷_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</si>
  <si>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</si>
  <si>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</si>
  <si>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</si>
  <si>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</si>
  <si>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</si>
  <si>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</si>
  <si>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</si>
  <si>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</si>
  <si>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</si>
  <si>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</si>
  <si>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</si>
  <si>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</si>
  <si>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</si>
  <si>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</si>
  <si>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</si>
  <si>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</si>
  <si>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</si>
  <si>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</si>
  <si>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</si>
  <si>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</si>
  <si>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</si>
  <si>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</si>
  <si>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</si>
  <si>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</si>
  <si>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</si>
  <si>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</si>
  <si>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</si>
  <si>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DTC Meaning
DTC含义</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</si>
  <si>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</si>
  <si>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</si>
  <si>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</si>
  <si>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</si>
  <si>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</si>
  <si>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</si>
  <si>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</si>
  <si>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</si>
  <si>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</si>
  <si>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</si>
  <si>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</si>
  <si>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</si>
  <si>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</si>
  <si>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</si>
  <si>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</si>
  <si>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</si>
  <si>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</si>
  <si>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</si>
  <si>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</si>
  <si>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</si>
  <si>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Field
位场</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</si>
  <si>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</si>
  <si>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</si>
  <si>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</si>
  <si>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</si>
  <si>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</si>
  <si>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</si>
  <si>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</si>
  <si>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</si>
  <si>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</si>
  <si>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</si>
  <si>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</si>
  <si>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</si>
  <si>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</si>
  <si>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</si>
  <si>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</si>
  <si>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</si>
  <si>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</si>
  <si>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</si>
  <si>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Sub Data Name
子数据名称</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</si>
  <si>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</si>
  <si>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</si>
  <si>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</si>
  <si>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</si>
  <si>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</si>
  <si>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</si>
  <si>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</si>
  <si>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</si>
  <si>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</si>
  <si>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</si>
  <si>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</si>
  <si>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</si>
  <si>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</si>
  <si>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</si>
  <si>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</si>
  <si>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</si>
  <si>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</si>
  <si>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</si>
  <si>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</si>
  <si>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</si>
  <si>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</si>
  <si>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</si>
  <si>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</si>
  <si>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</si>
  <si>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</si>
  <si>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</si>
  <si>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</si>
  <si>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</si>
  <si>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</si>
  <si>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</si>
  <si>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</si>
  <si>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</si>
  <si>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Flash Session Name</t>
  </si>
  <si>
    <t>Priority</t>
  </si>
  <si>
    <t>DataBlock Name</t>
  </si>
  <si>
    <t>Session BootLoader</t>
  </si>
  <si>
    <t>BootLoader</t>
  </si>
  <si>
    <t>Session Application</t>
  </si>
  <si>
    <t>APP</t>
  </si>
  <si>
    <t>Session DataSet</t>
  </si>
  <si>
    <t>DS</t>
  </si>
  <si>
    <t>Description</t>
  </si>
  <si>
    <t>No Unit</t>
  </si>
  <si>
    <t>m</t>
  </si>
  <si>
    <t>Meter</t>
  </si>
  <si>
    <t>millimeter</t>
  </si>
  <si>
    <t>km</t>
  </si>
  <si>
    <t>kilometer</t>
  </si>
  <si>
    <t>ft</t>
  </si>
  <si>
    <t>Foot</t>
  </si>
  <si>
    <t>in</t>
  </si>
  <si>
    <t>Inch</t>
  </si>
  <si>
    <t>yd</t>
  </si>
  <si>
    <t>Yard</t>
  </si>
  <si>
    <t>mi</t>
  </si>
  <si>
    <t>mile</t>
  </si>
  <si>
    <t>g</t>
  </si>
  <si>
    <t>Gram</t>
  </si>
  <si>
    <t>t</t>
  </si>
  <si>
    <t>ton</t>
  </si>
  <si>
    <t>s</t>
  </si>
  <si>
    <t>Second</t>
  </si>
  <si>
    <t>milli second</t>
  </si>
  <si>
    <t>min</t>
  </si>
  <si>
    <t>Minute</t>
  </si>
  <si>
    <t>h</t>
  </si>
  <si>
    <t>Hour</t>
  </si>
  <si>
    <t>d</t>
  </si>
  <si>
    <t>month</t>
  </si>
  <si>
    <t>y</t>
  </si>
  <si>
    <t>year</t>
  </si>
  <si>
    <t>A</t>
  </si>
  <si>
    <t>ampere</t>
  </si>
  <si>
    <t>mA</t>
  </si>
  <si>
    <t>milliampere</t>
  </si>
  <si>
    <t>V</t>
  </si>
  <si>
    <t>volt</t>
  </si>
  <si>
    <t>mV</t>
  </si>
  <si>
    <t>millivolt</t>
  </si>
  <si>
    <t>C</t>
  </si>
  <si>
    <t>coulomb</t>
  </si>
  <si>
    <t>Ah</t>
  </si>
  <si>
    <t>ampere-hour</t>
  </si>
  <si>
    <t>watt</t>
  </si>
  <si>
    <t>kW</t>
  </si>
  <si>
    <t>kilowatt</t>
  </si>
  <si>
    <t>ohm</t>
  </si>
  <si>
    <t>kiloohm</t>
  </si>
  <si>
    <t>F</t>
  </si>
  <si>
    <t>farad</t>
  </si>
  <si>
    <t>H</t>
  </si>
  <si>
    <t>henry</t>
  </si>
  <si>
    <t>S</t>
  </si>
  <si>
    <t>siemens</t>
  </si>
  <si>
    <t>Wb</t>
  </si>
  <si>
    <t>weber</t>
  </si>
  <si>
    <t>T</t>
  </si>
  <si>
    <t>tesla</t>
  </si>
  <si>
    <t>K</t>
  </si>
  <si>
    <t>kelvin</t>
  </si>
  <si>
    <t>Celsius</t>
  </si>
  <si>
    <t>°F</t>
  </si>
  <si>
    <t>Fahrenheit</t>
  </si>
  <si>
    <t>cd</t>
  </si>
  <si>
    <t>candela</t>
  </si>
  <si>
    <t>rad</t>
  </si>
  <si>
    <t>radian</t>
  </si>
  <si>
    <t>°</t>
  </si>
  <si>
    <t>degree</t>
  </si>
  <si>
    <t>Hz</t>
  </si>
  <si>
    <t>hertz</t>
  </si>
  <si>
    <t>J</t>
  </si>
  <si>
    <t>joule</t>
  </si>
  <si>
    <t>Newton</t>
  </si>
  <si>
    <t>kp</t>
  </si>
  <si>
    <t>kilopond</t>
  </si>
  <si>
    <t>lbf</t>
  </si>
  <si>
    <t>pound force</t>
  </si>
  <si>
    <t>hk</t>
  </si>
  <si>
    <t>horse power (metric)</t>
  </si>
  <si>
    <t>hp</t>
  </si>
  <si>
    <t>horse power (UK and US)</t>
  </si>
  <si>
    <t>Pa</t>
  </si>
  <si>
    <t>Pascal</t>
  </si>
  <si>
    <t>bar</t>
  </si>
  <si>
    <t>atm</t>
  </si>
  <si>
    <t>atmosphere</t>
  </si>
  <si>
    <t>psi</t>
  </si>
  <si>
    <t>pound force per square inch</t>
  </si>
  <si>
    <t>Bq</t>
  </si>
  <si>
    <t>becqerel</t>
  </si>
  <si>
    <t>lm</t>
  </si>
  <si>
    <t>lumen</t>
  </si>
  <si>
    <t>lx</t>
  </si>
  <si>
    <t>lux</t>
  </si>
  <si>
    <t>l</t>
  </si>
  <si>
    <t>liter</t>
  </si>
  <si>
    <t>m/s</t>
  </si>
  <si>
    <t>meter per second</t>
  </si>
  <si>
    <t>km/h</t>
  </si>
  <si>
    <t>kilometer per hour</t>
  </si>
  <si>
    <t>mph</t>
  </si>
  <si>
    <t>mile per hour</t>
  </si>
  <si>
    <t>rps</t>
  </si>
  <si>
    <t>revolutions per second</t>
  </si>
  <si>
    <t>rpm</t>
  </si>
  <si>
    <t>revolutions per minute</t>
  </si>
  <si>
    <t>%</t>
  </si>
  <si>
    <t>percent</t>
  </si>
  <si>
    <t>mg/stroke</t>
  </si>
  <si>
    <t>milligram per stroke</t>
  </si>
  <si>
    <t>m/s2</t>
  </si>
  <si>
    <t>meter per square second</t>
  </si>
  <si>
    <t>Nm</t>
  </si>
  <si>
    <t>Newton meter</t>
  </si>
  <si>
    <t>l/min</t>
  </si>
  <si>
    <t>liter per minute</t>
  </si>
  <si>
    <t>W/m2</t>
  </si>
  <si>
    <t>Watt per square meter W/m2 Intensity</t>
  </si>
  <si>
    <t>bar/s</t>
  </si>
  <si>
    <t>Bar per second</t>
  </si>
  <si>
    <t>rad/s</t>
  </si>
  <si>
    <t>Radians per second</t>
  </si>
  <si>
    <t>rad/s2</t>
  </si>
  <si>
    <t>Radians per square second</t>
  </si>
  <si>
    <t>kg/m2</t>
  </si>
  <si>
    <t>Kilogram per square meter</t>
  </si>
  <si>
    <t>Flashing Session Type</t>
  </si>
  <si>
    <t>FlashDataType</t>
  </si>
  <si>
    <t>Data Format</t>
  </si>
  <si>
    <t>CompressMethod</t>
  </si>
  <si>
    <t>AddrLength</t>
  </si>
  <si>
    <t>SizeLength</t>
  </si>
  <si>
    <t>Segment Name</t>
  </si>
  <si>
    <t>SourceStartAdr</t>
  </si>
  <si>
    <t>UncompressedSize</t>
  </si>
  <si>
    <t>DRIVER</t>
  </si>
  <si>
    <t>EXTERNFLASHDATA</t>
  </si>
  <si>
    <t>BIN</t>
  </si>
  <si>
    <t>Segment1</t>
  </si>
  <si>
    <t>0x0002F000</t>
  </si>
  <si>
    <t>1 Segment</t>
  </si>
  <si>
    <t>S19</t>
  </si>
  <si>
    <t>DATA</t>
  </si>
  <si>
    <t>ExternFlashData</t>
  </si>
  <si>
    <t>HEX</t>
  </si>
  <si>
    <t>DTC Number (hex)</t>
  </si>
  <si>
    <t>DTC Number</t>
  </si>
  <si>
    <t>Failure Type Byte and meaning</t>
  </si>
  <si>
    <t>DTC Name</t>
  </si>
  <si>
    <t>Lamp Flag</t>
  </si>
  <si>
    <t>DTC Failure Type Definition(if necessary)</t>
  </si>
  <si>
    <t>Repair Action</t>
  </si>
  <si>
    <t>Monitor Enable Criteria</t>
  </si>
  <si>
    <t>Monitor Type</t>
  </si>
  <si>
    <t>Monitor Rate</t>
  </si>
  <si>
    <t>Test Failed criteria/ Confirmation Failure criteria</t>
  </si>
  <si>
    <t>Mature Time</t>
  </si>
  <si>
    <t>Test Pass Criteria</t>
  </si>
  <si>
    <t>Service Relevant</t>
  </si>
  <si>
    <t>De  mature Time</t>
  </si>
  <si>
    <t>ECU Failure Action/Limp  home Action</t>
  </si>
  <si>
    <t>DTC Aging</t>
  </si>
  <si>
    <t>local snapshot Record</t>
  </si>
  <si>
    <t>0xE40017</t>
  </si>
  <si>
    <t>U240017</t>
  </si>
  <si>
    <t>GW电源电压过高故障
GW power supply voltage is too low fault</t>
  </si>
  <si>
    <t>unused</t>
  </si>
  <si>
    <t xml:space="preserve">1. ECU上电，电源模式切换到ON
2. 网关供电电压（7V，18V）
3. 上电2000ms后或诊断重启500ms后
4. 诊断功能未关闭（85服务开启诊断）
</t>
  </si>
  <si>
    <t>continuous</t>
  </si>
  <si>
    <t>100ms</t>
  </si>
  <si>
    <t>电压高于16V持续时间大于500ms</t>
  </si>
  <si>
    <t>电压恢复低于15V以下，持续500ms</t>
  </si>
  <si>
    <t>存储并记录DTC</t>
  </si>
  <si>
    <t>0xE40016</t>
  </si>
  <si>
    <t>U240016</t>
  </si>
  <si>
    <t xml:space="preserve"> GW电源电压过低故障
GW power supply voltage too high fault</t>
  </si>
  <si>
    <t>1. ECU上电，电源模式切换到ON
2. 网关供电电压（7V，18V）
3. 上电2000ms后或诊断重启500ms后
4. 诊断功能未关闭（85服务开启诊断）</t>
  </si>
  <si>
    <t>电压低于9V持续时间大于500ms</t>
  </si>
  <si>
    <t>电压恢复至10V以上，持续500ms</t>
  </si>
  <si>
    <t>0xE42688</t>
  </si>
  <si>
    <t>U242688</t>
  </si>
  <si>
    <t>GW检BodyBUS busoff故障
B  CAN Bus  Off fault</t>
  </si>
  <si>
    <t xml:space="preserve">1. ECU上电，电源模式切换到ON
2. 网关供电电压（9V，16V）
3. 上电2000ms后或诊断重启500ms后
4. 诊断功能未关闭（85服务开启诊断
</t>
  </si>
  <si>
    <t>BodyBUS连续产生3次busoff</t>
  </si>
  <si>
    <t>BodyBUS成功传输一帧CAN报文</t>
  </si>
  <si>
    <t>0xE44588</t>
  </si>
  <si>
    <t>U244588</t>
  </si>
  <si>
    <t>GW检EVDOMBUS busoff故障
P  CAN Bus  Off fault</t>
  </si>
  <si>
    <t>EVDOMBUS连续产生3次busoff</t>
  </si>
  <si>
    <t>EVDOMBUS成功传输一帧CAN报文</t>
  </si>
  <si>
    <t>0xE44688</t>
  </si>
  <si>
    <t>U244688</t>
  </si>
  <si>
    <t>GW检CDOMBUS busoff故障
C  CAN Bus  Off fault</t>
  </si>
  <si>
    <t>CDOMBUS连续产生3次busoff</t>
  </si>
  <si>
    <t>CDOMBUS成功传输一帧CAN报文</t>
  </si>
  <si>
    <t>0xE44788</t>
  </si>
  <si>
    <t>U244788</t>
  </si>
  <si>
    <t>GW检ADASDOMBUS busoff故障
A  CAN Bus  Off fault</t>
  </si>
  <si>
    <t>ADASDOMBUS连续产生3次busoff</t>
  </si>
  <si>
    <t>ADASDOMBUS成功传输一帧CAN报文</t>
  </si>
  <si>
    <t>0xE44888</t>
  </si>
  <si>
    <t>U244888</t>
  </si>
  <si>
    <t>GW检IDOMBUS busoff故障
I CAN Bus  Off fault</t>
  </si>
  <si>
    <t>IDOMBUS连续产生3次busoff</t>
  </si>
  <si>
    <t>IDOMBUS成功传输一帧CAN报文</t>
  </si>
  <si>
    <t>0xE44988</t>
  </si>
  <si>
    <t>U244988</t>
  </si>
  <si>
    <t>GW检TDOMBUS busoff故障
T CAN Bus  Off fault</t>
  </si>
  <si>
    <t>TDOMBUS连续产生3次busoff</t>
  </si>
  <si>
    <t>TDOMBUS成功传输一帧CAN报文</t>
  </si>
  <si>
    <t>0xE40787</t>
  </si>
  <si>
    <t>U240787</t>
  </si>
  <si>
    <t>GW与T-BOX节点通讯丢失故障
Lost Communication With P  T-BOX</t>
  </si>
  <si>
    <t xml:space="preserve">1. ECU上电，电源模式切换到ON
2. 网关供电电压（9V，16V）
3. 上电2000ms后或诊断重启500ms后
4. 诊断功能未关闭（85服务开启诊断）
5. 网关未进入busoff状态
</t>
  </si>
  <si>
    <t>报文超时（报文ID:0x62F,超时时间为5s）</t>
  </si>
  <si>
    <t>收到所监控的报文</t>
  </si>
  <si>
    <t>0xE43987</t>
  </si>
  <si>
    <t>U243987</t>
  </si>
  <si>
    <t>GW与ADAS节点通讯丢失故障
Lost Communication With P  ADAS</t>
  </si>
  <si>
    <t>报文超时（报文ID:0x14C,超时时间为发送周期10倍）</t>
  </si>
  <si>
    <t>0xE44A87</t>
  </si>
  <si>
    <t>U244A87</t>
  </si>
  <si>
    <t>GW与PDCU节点通讯丢失故障
Lost Communication With P  PDCU</t>
  </si>
  <si>
    <t>报文超时（报文ID:0x100,超时时间为发送周期10倍）</t>
  </si>
  <si>
    <t>0C00整车状态 
0C01车速信号 
0C02蓄电池电压
 0C03电源模式</t>
  </si>
  <si>
    <t>0xE40187</t>
  </si>
  <si>
    <t>U240187</t>
  </si>
  <si>
    <t>GW与ESP节点通讯丢失故障
Lost Communication With P ESP</t>
  </si>
  <si>
    <t>报文超时（报文ID:0x120,超时时间为发送周期10倍</t>
  </si>
  <si>
    <t>0xE41587</t>
  </si>
  <si>
    <t>U241587</t>
  </si>
  <si>
    <t>GW与EPS节点通讯丢失故障
Lost Communication With P  EPS</t>
  </si>
  <si>
    <t>报文超时（报文ID:0x1C2,超时时间为发送周期10倍）</t>
  </si>
  <si>
    <t>0xE42B87</t>
  </si>
  <si>
    <t>U242B87</t>
  </si>
  <si>
    <t>GW与iBooster节点通讯丢失故障
Lost Communication With P  iBooster</t>
  </si>
  <si>
    <t>报文超时（报文ID:0x271,超时时间为发送周期10倍）</t>
  </si>
  <si>
    <t>0xE42E87</t>
  </si>
  <si>
    <t>U242E87</t>
  </si>
  <si>
    <t>GW与ICC节点通讯丢失故障
Lost Communication With P  ICC</t>
  </si>
  <si>
    <t>报文超时（报文ID:0x320,超时时间为发送周期10倍）</t>
  </si>
  <si>
    <t>0xE41387</t>
  </si>
  <si>
    <t>U241387</t>
  </si>
  <si>
    <t xml:space="preserve"> GW与BCM节点通讯丢失故障
Lost Communication With P  BCM</t>
  </si>
  <si>
    <t>报文超时（报文ID:0x335,超时时间为发送周期10倍）</t>
  </si>
  <si>
    <t>0xE43487</t>
  </si>
  <si>
    <t>U243487</t>
  </si>
  <si>
    <t>GW与DSMC节点通讯丢失故障
Lost Communication With P  DSMC</t>
  </si>
  <si>
    <t>报文超时（报文ID:0x518,超时时间为发送周期10倍）</t>
  </si>
  <si>
    <t>0xE43787</t>
  </si>
  <si>
    <t>U243787</t>
  </si>
  <si>
    <t>GW与PLGM节点通讯丢失故障
Lost Communication With P  PLGM</t>
  </si>
  <si>
    <t>报文超时（报文ID:0x471,超时时间为发送周期10倍）</t>
  </si>
  <si>
    <t>0xE43687</t>
  </si>
  <si>
    <t>U243687</t>
  </si>
  <si>
    <t>GW与PKC节点通讯丢失故障
Lost Communication With P  PKC</t>
  </si>
  <si>
    <t>报文超时（报文ID:0x1B6,超时时间为发送周期10倍）</t>
  </si>
  <si>
    <t>0xE43887</t>
  </si>
  <si>
    <t>U243887</t>
  </si>
  <si>
    <t>GW与PSM节点通讯丢失故障
Lost Communication With P  PSM</t>
  </si>
  <si>
    <t>报文超时（报文ID:0x512,超时时间为发送周期10倍）</t>
  </si>
  <si>
    <t>0xE43387</t>
  </si>
  <si>
    <t>U243387</t>
  </si>
  <si>
    <t>GW与CIM节点通讯丢失故障
Lost Communication With P  CIM</t>
  </si>
  <si>
    <t>报文超时（报文ID:0x189,超时时间为发送周期10倍）</t>
  </si>
  <si>
    <t>0xE44B87</t>
  </si>
  <si>
    <t>U244B87</t>
  </si>
  <si>
    <t>GW与OHC节点通讯丢失故障
Lost Communication With P  OHC</t>
  </si>
  <si>
    <t>报文超时（报文ID:0x337,超时时间为发送周期10倍）</t>
  </si>
  <si>
    <t>0xE43587</t>
  </si>
  <si>
    <t>U243587</t>
  </si>
  <si>
    <t>GW与PASC节点通讯丢失故障
Lost Communication With P  PASC</t>
  </si>
  <si>
    <t>报文超时（报文ID:0x522,超时时间为发送周期10倍）</t>
  </si>
  <si>
    <t>0xE43287</t>
  </si>
  <si>
    <t>U243287</t>
  </si>
  <si>
    <t>GW与ADB节点通讯丢失故障
Lost Communication With P  ADB</t>
  </si>
  <si>
    <t>报文超时（报文ID:0x353,超时时间为发送周期10倍）</t>
  </si>
  <si>
    <t>0xE43B87</t>
  </si>
  <si>
    <t>U243B87</t>
  </si>
  <si>
    <t>GW与PEPS节点通讯丢失故障
Lost Communication With P  ADB</t>
  </si>
  <si>
    <t>报文超时（报文ID:0x380,超时时间为发送周期10倍）</t>
  </si>
  <si>
    <t>0xC3587</t>
  </si>
  <si>
    <t>U035F87</t>
  </si>
  <si>
    <t>GW与TPMS节点通讯丢失故障
Lost Communication With P  ADB</t>
  </si>
  <si>
    <t>报文超时（报文ID:0x589,5000ms）</t>
  </si>
  <si>
    <t>0xE42587</t>
  </si>
  <si>
    <t>U242587</t>
  </si>
  <si>
    <t>GW检BodyBUS LimpHome故障</t>
  </si>
  <si>
    <r>
      <rPr>
        <sz val="10"/>
        <rFont val="微软雅黑"/>
        <charset val="134"/>
      </rPr>
      <t xml:space="preserve">1. ECU上电，电源模式切换到ON
2. 网关供电电压（9V，16V）
3. 上电2000ms后或诊断重启500ms后
4. 诊断功能未关闭（85服务开启诊断）
</t>
    </r>
    <r>
      <rPr>
        <strike/>
        <sz val="10"/>
        <rFont val="微软雅黑"/>
        <charset val="134"/>
      </rPr>
      <t>5. 网关未进入busoff状态</t>
    </r>
    <r>
      <rPr>
        <sz val="10"/>
        <rFont val="微软雅黑"/>
        <charset val="134"/>
      </rPr>
      <t xml:space="preserve">
</t>
    </r>
  </si>
  <si>
    <t>网络管理中limphome状态标志位有效持续2000ms</t>
  </si>
  <si>
    <t>0x156D4B</t>
  </si>
  <si>
    <t>P156D4B</t>
  </si>
  <si>
    <t>GW检MCU温度异常预警故障</t>
  </si>
  <si>
    <t>MCU温度不在阈值（-35，120）摄氏度范围内，持续时间大于10s</t>
  </si>
  <si>
    <t>MCU温度回复到阈值（-35，120）摄氏度范围内，持续时间大于10s</t>
  </si>
  <si>
    <t>0x156096</t>
  </si>
  <si>
    <t>P156096</t>
  </si>
  <si>
    <t>GW检BodyBUS CAN收发器失效故障</t>
  </si>
  <si>
    <t>连续3个操作周期Trcv收发报文从未成功过</t>
  </si>
  <si>
    <t>收发器正常收发一帧报文</t>
  </si>
  <si>
    <t>0x156196</t>
  </si>
  <si>
    <t>P156196</t>
  </si>
  <si>
    <t>GW检EVDOMBUS CAN收发器失效故障</t>
  </si>
  <si>
    <t>0x156296</t>
  </si>
  <si>
    <t>P156296</t>
  </si>
  <si>
    <t>GW检CDOMBUS CAN收发器失效故障</t>
  </si>
  <si>
    <t>0x156396</t>
  </si>
  <si>
    <t>P156396</t>
  </si>
  <si>
    <t>GW检ADASDOMBUS CAN收发器失效故障</t>
  </si>
  <si>
    <t>0x156496</t>
  </si>
  <si>
    <t>P156496</t>
  </si>
  <si>
    <t>GW检IDOMBUS CAN收发器失效故障</t>
  </si>
  <si>
    <t>0x156596</t>
  </si>
  <si>
    <t>P156596</t>
  </si>
  <si>
    <t>GW检TDOMBUS CAN收发器失效故障</t>
  </si>
  <si>
    <t>0x156A96</t>
  </si>
  <si>
    <t>P156A96</t>
  </si>
  <si>
    <t>GW检DiagBUS CAN收发器失效故障</t>
  </si>
  <si>
    <t>0x156746</t>
  </si>
  <si>
    <t>P156746</t>
  </si>
  <si>
    <t>GW检EEPROM故障</t>
  </si>
  <si>
    <t>EEPROM数据读写异常，且不能恢复</t>
  </si>
  <si>
    <t>EEPROM数据读写正常</t>
  </si>
  <si>
    <t>0x156B09</t>
  </si>
  <si>
    <t>P156B09</t>
  </si>
  <si>
    <t>GW检ETH交换芯片失效故障</t>
  </si>
  <si>
    <t>连续三个操作周期，ETH所有收发转发全部失败</t>
  </si>
  <si>
    <t>未实装</t>
  </si>
  <si>
    <t>0x156C62</t>
  </si>
  <si>
    <t>P156C62</t>
  </si>
  <si>
    <t>GW检启动安全校验失败状态</t>
  </si>
  <si>
    <t>Initial</t>
  </si>
  <si>
    <t>initial</t>
  </si>
  <si>
    <t>启动A区或B区失败</t>
  </si>
  <si>
    <t>再次启动同一分区成功</t>
  </si>
  <si>
    <t>156B29</t>
  </si>
  <si>
    <t>P156B29</t>
  </si>
  <si>
    <t>GW检ETH网口连接故障</t>
  </si>
  <si>
    <t xml:space="preserve">1. ECU上电，电源模式切换到ON
2. 网关供电电压（9V，16V）
3. 上电2000ms后或诊断重启500ms后
4. 诊断功能未关闭（85服务开启诊断） 
</t>
  </si>
  <si>
    <t>连续检测到3次link口失败</t>
  </si>
  <si>
    <t>检测到link无异常</t>
  </si>
  <si>
    <t>156E29</t>
  </si>
  <si>
    <t>P156E29</t>
  </si>
  <si>
    <t>GW检TCP连接故障</t>
  </si>
  <si>
    <t xml:space="preserve">1. ECU上电，电源模式切换到ON
2. 网关供电电压（9V，16V）
3. 上电2000ms后或诊断重启500ms后
4. 诊断功能未关闭（85服务开启诊断）
5. 无ETH网口连接故障
</t>
  </si>
  <si>
    <t>发起请求连接，连续失败3次</t>
  </si>
  <si>
    <t>请求连接成功1次</t>
  </si>
  <si>
    <t>E44482</t>
  </si>
  <si>
    <t>U244482</t>
  </si>
  <si>
    <t>报文周期异常故障</t>
  </si>
  <si>
    <t xml:space="preserve">1. ECU上电，电源模式切换到ON
2. 网关供电电压（9V，16V）
3. 上电2000ms后或诊断重启500ms后
4. 诊断功能未关闭（85服务开启诊断）
</t>
  </si>
  <si>
    <t>周期报文连续10次周期异常（小于原周期 40%）</t>
  </si>
  <si>
    <t>报文周期正常连续10正常（周期偏差 &lt; 10%）</t>
  </si>
  <si>
    <t>0x0C00</t>
  </si>
  <si>
    <t>Vehicle Status</t>
  </si>
  <si>
    <t>type=texttable</t>
  </si>
  <si>
    <t>整车状态</t>
  </si>
  <si>
    <t>0x0C01</t>
  </si>
  <si>
    <t>type=ax+b
a=0.1
b=0</t>
  </si>
  <si>
    <t>车速信号</t>
  </si>
  <si>
    <t>0x0C02</t>
  </si>
  <si>
    <t>type=ax+b
a=0.001
b=0</t>
  </si>
  <si>
    <t>蓄电池电压</t>
  </si>
  <si>
    <t>0x0C03</t>
  </si>
  <si>
    <t>Power Mode</t>
  </si>
  <si>
    <r>
      <rPr>
        <sz val="12"/>
        <rFont val="Calibri"/>
        <charset val="134"/>
      </rPr>
      <t>type=texttable
0x0: Off
0x1: ACC (Reserved)
0x2: IGN On
0x3: Crank Pending(</t>
    </r>
    <r>
      <rPr>
        <sz val="12"/>
        <rFont val="宋体"/>
        <charset val="134"/>
      </rPr>
      <t>动力防盗认证过程中</t>
    </r>
    <r>
      <rPr>
        <sz val="12"/>
        <rFont val="Calibri"/>
        <charset val="134"/>
      </rPr>
      <t xml:space="preserve">)
0x4: Run
0x5: Crank Off (Reserved)
0x6~0x7: Reserved
</t>
    </r>
  </si>
  <si>
    <t>电源模式</t>
  </si>
  <si>
    <t>0x0C04</t>
  </si>
  <si>
    <t>Access authentication mode status</t>
  </si>
  <si>
    <r>
      <rPr>
        <sz val="12"/>
        <rFont val="Calibri"/>
        <charset val="134"/>
      </rPr>
      <t>type=texttable
0x00=</t>
    </r>
    <r>
      <rPr>
        <sz val="12"/>
        <rFont val="宋体"/>
        <charset val="134"/>
      </rPr>
      <t>工厂模式</t>
    </r>
    <r>
      <rPr>
        <sz val="12"/>
        <rFont val="Calibri"/>
        <charset val="134"/>
      </rPr>
      <t xml:space="preserve">
0x01=</t>
    </r>
    <r>
      <rPr>
        <sz val="12"/>
        <rFont val="宋体"/>
        <charset val="134"/>
      </rPr>
      <t>用户模式</t>
    </r>
  </si>
  <si>
    <t>接入认证模式状态</t>
  </si>
  <si>
    <t>0x0C05</t>
  </si>
  <si>
    <t>GW System Status</t>
  </si>
  <si>
    <r>
      <rPr>
        <sz val="12"/>
        <rFont val="Calibri"/>
        <charset val="134"/>
      </rPr>
      <t>type=texttable
0x00</t>
    </r>
    <r>
      <rPr>
        <sz val="12"/>
        <rFont val="宋体"/>
        <charset val="134"/>
      </rPr>
      <t>：normal</t>
    </r>
    <r>
      <rPr>
        <sz val="12"/>
        <rFont val="Calibri"/>
        <charset val="134"/>
      </rPr>
      <t xml:space="preserve">
</t>
    </r>
    <r>
      <rPr>
        <sz val="12"/>
        <rFont val="宋体"/>
        <charset val="134"/>
      </rPr>
      <t>…</t>
    </r>
  </si>
  <si>
    <t>网关系统工作状态</t>
  </si>
  <si>
    <t>固定为 0</t>
  </si>
  <si>
    <t>0x0C06</t>
  </si>
  <si>
    <t>CAN Transceiver supply voltage</t>
  </si>
  <si>
    <t>type=ax+b
a=0.00122
b=0</t>
  </si>
  <si>
    <r>
      <rPr>
        <sz val="12"/>
        <color indexed="8"/>
        <rFont val="Calibri"/>
        <charset val="134"/>
      </rPr>
      <t>CAN</t>
    </r>
    <r>
      <rPr>
        <sz val="12"/>
        <color indexed="8"/>
        <rFont val="宋体"/>
        <charset val="134"/>
      </rPr>
      <t>收发器供电电压</t>
    </r>
  </si>
  <si>
    <t>VCC_5V0电压</t>
  </si>
  <si>
    <t>VCU_3V3电压</t>
  </si>
  <si>
    <t>VBAT_IN电压</t>
  </si>
  <si>
    <t>0x0C07</t>
  </si>
  <si>
    <t>GW supply voltage</t>
  </si>
  <si>
    <t>GW电源电压</t>
  </si>
  <si>
    <t>GW供电状态</t>
  </si>
  <si>
    <t>0x0C08</t>
  </si>
  <si>
    <t>Switch  supply voltage</t>
  </si>
  <si>
    <t>Switch供电电压</t>
  </si>
  <si>
    <t>VVR_5V0电压</t>
  </si>
  <si>
    <t>VDD_3V3电压</t>
  </si>
  <si>
    <t>VDD_0V9电压</t>
  </si>
  <si>
    <t>0x0C09</t>
  </si>
  <si>
    <t>Eeprom  supply voltage</t>
  </si>
  <si>
    <t>EEPROM供电电压</t>
  </si>
  <si>
    <t>0x0C0A</t>
  </si>
  <si>
    <t>Eeprom Communication status</t>
  </si>
  <si>
    <t>type=texttable
0x00: OK
0x01:Not OK</t>
  </si>
  <si>
    <t>Eeprom 通信状态</t>
  </si>
  <si>
    <t>0x0C0B</t>
  </si>
  <si>
    <t>Boot failed partition</t>
  </si>
  <si>
    <r>
      <rPr>
        <sz val="12"/>
        <rFont val="Calibri"/>
        <charset val="134"/>
      </rPr>
      <t xml:space="preserve">type=texttable
0x00: </t>
    </r>
    <r>
      <rPr>
        <sz val="12"/>
        <rFont val="宋体"/>
        <charset val="134"/>
      </rPr>
      <t>分区1</t>
    </r>
    <r>
      <rPr>
        <sz val="12"/>
        <rFont val="Calibri"/>
        <charset val="134"/>
      </rPr>
      <t xml:space="preserve">
0x01: </t>
    </r>
    <r>
      <rPr>
        <sz val="12"/>
        <rFont val="宋体"/>
        <charset val="134"/>
      </rPr>
      <t>分区2</t>
    </r>
  </si>
  <si>
    <t>启动失败的分区</t>
  </si>
  <si>
    <t>数据演算未实装</t>
  </si>
  <si>
    <t>0x0C0D</t>
  </si>
  <si>
    <t>Switch  Link line status</t>
  </si>
  <si>
    <t>type=texttable
0x00: down
0x01: active
…</t>
  </si>
  <si>
    <t>Switch链接线路状态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</si>
</sst>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409]d/mmm/yy;@"/>
    <numFmt numFmtId="178" formatCode="[$-F400]h:mm:ss\ AM/PM"/>
    <numFmt numFmtId="179" formatCode="0.0_);[Red]\(0.0\)"/>
    <numFmt numFmtId="180" formatCode="yyyy\-mm\-dd;@"/>
  </numFmts>
  <fonts count="138">
    <font>
      <sz val="11"/>
      <name val="宋体"/>
      <charset val="134"/>
    </font>
    <font>
      <sz val="12"/>
      <name val="Calibri"/>
      <charset val="134"/>
    </font>
    <font>
      <sz val="11"/>
      <name val="Calibri"/>
      <charset val="134"/>
    </font>
    <font>
      <b/>
      <sz val="12"/>
      <name val="Calibri"/>
      <charset val="134"/>
    </font>
    <font>
      <sz val="12"/>
      <color indexed="8"/>
      <name val="Calibri"/>
      <charset val="134"/>
    </font>
    <font>
      <sz val="12"/>
      <name val="宋体"/>
      <charset val="134"/>
    </font>
    <font>
      <sz val="12"/>
      <color rgb="FF000000"/>
      <name val="Calibri"/>
      <charset val="134"/>
    </font>
    <font>
      <b/>
      <sz val="12"/>
      <color rgb="FF000000"/>
      <name val="Calibri"/>
      <charset val="134"/>
    </font>
    <font>
      <b/>
      <sz val="10"/>
      <color rgb="FF000000"/>
      <name val="微软雅黑"/>
      <charset val="134"/>
    </font>
    <font>
      <sz val="10"/>
      <color rgb="FF000000"/>
      <name val="微软雅黑"/>
      <charset val="134"/>
    </font>
    <font>
      <sz val="10"/>
      <name val="微软雅黑"/>
      <charset val="134"/>
    </font>
    <font>
      <sz val="10"/>
      <color rgb="FF555555"/>
      <name val="微软雅黑"/>
      <charset val="134"/>
    </font>
    <font>
      <sz val="10"/>
      <color rgb="FFFF0000"/>
      <name val="微软雅黑"/>
      <charset val="134"/>
    </font>
    <font>
      <sz val="10"/>
      <name val="Calibri"/>
      <charset val="134"/>
    </font>
    <font>
      <b/>
      <sz val="10"/>
      <name val="Calibri"/>
      <charset val="134"/>
    </font>
    <font>
      <sz val="10"/>
      <color indexed="53"/>
      <name val="Calibri"/>
      <charset val="134"/>
    </font>
    <font>
      <b/>
      <sz val="10"/>
      <color indexed="8"/>
      <name val="Calibri"/>
      <charset val="134"/>
    </font>
    <font>
      <sz val="10"/>
      <color indexed="8"/>
      <name val="Calibri"/>
      <charset val="134"/>
    </font>
    <font>
      <sz val="10"/>
      <name val="Arial"/>
      <charset val="134"/>
    </font>
    <font>
      <b/>
      <sz val="10"/>
      <name val="宋体"/>
      <charset val="134"/>
      <scheme val="minor"/>
    </font>
    <font>
      <sz val="10"/>
      <name val="宋体"/>
      <charset val="134"/>
      <scheme val="minor"/>
    </font>
    <font>
      <b/>
      <i/>
      <sz val="10"/>
      <name val="微软雅黑"/>
      <charset val="134"/>
    </font>
    <font>
      <b/>
      <sz val="10"/>
      <name val="微软雅黑"/>
      <charset val="134"/>
    </font>
    <font>
      <b/>
      <i/>
      <sz val="10"/>
      <name val="宋体"/>
      <charset val="134"/>
      <scheme val="minor"/>
    </font>
    <font>
      <sz val="10"/>
      <name val="Microsoft YaHei Light"/>
      <charset val="134"/>
    </font>
    <font>
      <b/>
      <sz val="10"/>
      <color rgb="FFFF0000"/>
      <name val="宋体"/>
      <charset val="134"/>
      <scheme val="minor"/>
    </font>
    <font>
      <sz val="10"/>
      <color rgb="FFFF0000"/>
      <name val="宋体"/>
      <charset val="134"/>
      <scheme val="minor"/>
    </font>
    <font>
      <i/>
      <sz val="10"/>
      <color rgb="FFFF0000"/>
      <name val="宋体"/>
      <charset val="134"/>
      <scheme val="minor"/>
    </font>
    <font>
      <sz val="10"/>
      <color rgb="FFFF0000"/>
      <name val="Microsoft YaHei Light"/>
      <charset val="134"/>
    </font>
    <font>
      <i/>
      <sz val="10"/>
      <color rgb="FFFF0000"/>
      <name val="Microsoft YaHei Light"/>
      <charset val="134"/>
    </font>
    <font>
      <b/>
      <sz val="10"/>
      <name val="Microsoft YaHei Light"/>
      <charset val="134"/>
    </font>
    <font>
      <strike/>
      <sz val="10"/>
      <color rgb="FFFF0000"/>
      <name val="Microsoft YaHei Light"/>
      <charset val="134"/>
    </font>
    <font>
      <strike/>
      <sz val="10"/>
      <color theme="1"/>
      <name val="宋体"/>
      <charset val="134"/>
      <scheme val="minor"/>
    </font>
    <font>
      <b/>
      <sz val="10"/>
      <color rgb="FFFF0000"/>
      <name val="微软雅黑"/>
      <charset val="134"/>
    </font>
    <font>
      <b/>
      <sz val="10"/>
      <color indexed="8"/>
      <name val="微软雅黑"/>
      <charset val="134"/>
    </font>
    <font>
      <b/>
      <sz val="10"/>
      <color rgb="FF000000"/>
      <name val="Arial"/>
      <charset val="134"/>
    </font>
    <font>
      <b/>
      <sz val="10"/>
      <color indexed="8"/>
      <name val="Arial"/>
      <charset val="134"/>
    </font>
    <font>
      <sz val="10"/>
      <color theme="1"/>
      <name val="Arial"/>
      <charset val="134"/>
    </font>
    <font>
      <sz val="10"/>
      <color theme="1"/>
      <name val="宋体"/>
      <charset val="134"/>
      <scheme val="minor"/>
    </font>
    <font>
      <sz val="10"/>
      <color theme="1"/>
      <name val="宋体"/>
      <charset val="134"/>
    </font>
    <font>
      <sz val="10"/>
      <color theme="1"/>
      <name val="Arial"/>
      <charset val="134"/>
    </font>
    <font>
      <sz val="10"/>
      <color rgb="FFFF0000"/>
      <name val="Arial"/>
      <charset val="134"/>
    </font>
    <font>
      <sz val="8"/>
      <color theme="1"/>
      <name val="宋体"/>
      <charset val="134"/>
      <scheme val="minor"/>
    </font>
    <font>
      <strike/>
      <sz val="10"/>
      <color rgb="FFFF0000"/>
      <name val="宋体"/>
      <charset val="134"/>
    </font>
    <font>
      <i/>
      <sz val="10"/>
      <color theme="1"/>
      <name val="宋体"/>
      <charset val="134"/>
      <scheme val="minor"/>
    </font>
    <font>
      <sz val="10"/>
      <color theme="1"/>
      <name val="微软雅黑"/>
      <charset val="134"/>
    </font>
    <font>
      <strike/>
      <sz val="10"/>
      <color theme="1"/>
      <name val="Arial"/>
      <charset val="134"/>
    </font>
    <font>
      <strike/>
      <sz val="10"/>
      <name val="Arial"/>
      <charset val="134"/>
    </font>
    <font>
      <i/>
      <strike/>
      <sz val="10"/>
      <color theme="1"/>
      <name val="宋体"/>
      <charset val="134"/>
      <scheme val="minor"/>
    </font>
    <font>
      <strike/>
      <sz val="10"/>
      <color theme="1"/>
      <name val="宋体"/>
      <charset val="134"/>
    </font>
    <font>
      <strike/>
      <sz val="8"/>
      <color theme="1"/>
      <name val="宋体"/>
      <charset val="134"/>
      <scheme val="minor"/>
    </font>
    <font>
      <sz val="10"/>
      <color theme="1"/>
      <name val="宋体"/>
      <charset val="134"/>
      <scheme val="minor"/>
    </font>
    <font>
      <sz val="10"/>
      <color theme="1"/>
      <name val="宋体"/>
      <charset val="134"/>
    </font>
    <font>
      <b/>
      <sz val="10"/>
      <color rgb="FFFF0000"/>
      <name val="Calibri"/>
      <charset val="134"/>
    </font>
    <font>
      <sz val="10"/>
      <color theme="1"/>
      <name val="Calibri"/>
      <charset val="134"/>
    </font>
    <font>
      <i/>
      <sz val="10"/>
      <name val="Calibri"/>
      <charset val="134"/>
    </font>
    <font>
      <b/>
      <sz val="10"/>
      <color theme="1"/>
      <name val="宋体"/>
      <charset val="134"/>
      <scheme val="minor"/>
    </font>
    <font>
      <b/>
      <sz val="10"/>
      <color theme="1"/>
      <name val="Microsoft YaHei Light"/>
      <charset val="134"/>
    </font>
    <font>
      <sz val="10"/>
      <color theme="1"/>
      <name val="Microsoft YaHei Light"/>
      <charset val="134"/>
    </font>
    <font>
      <b/>
      <sz val="10"/>
      <color rgb="FFFF0000"/>
      <name val="Microsoft YaHei Light"/>
      <charset val="134"/>
    </font>
    <font>
      <strike/>
      <sz val="10"/>
      <name val="宋体"/>
      <charset val="134"/>
      <scheme val="minor"/>
    </font>
    <font>
      <sz val="12"/>
      <name val="Arial"/>
      <charset val="134"/>
    </font>
    <font>
      <sz val="12"/>
      <color rgb="FF0000FF"/>
      <name val="Calibri"/>
      <charset val="134"/>
    </font>
    <font>
      <sz val="9"/>
      <color theme="1"/>
      <name val="宋体"/>
      <charset val="134"/>
      <scheme val="minor"/>
    </font>
    <font>
      <sz val="9"/>
      <color theme="1"/>
      <name val="Microsoft YaHei Light"/>
      <charset val="134"/>
    </font>
    <font>
      <sz val="11"/>
      <color theme="1"/>
      <name val="宋体"/>
      <charset val="134"/>
      <scheme val="minor"/>
    </font>
    <font>
      <sz val="9"/>
      <color rgb="FFFF0000"/>
      <name val="宋体"/>
      <charset val="134"/>
      <scheme val="minor"/>
    </font>
    <font>
      <b/>
      <sz val="12"/>
      <color rgb="FFFF0000"/>
      <name val="宋体"/>
      <charset val="134"/>
      <scheme val="minor"/>
    </font>
    <font>
      <strike/>
      <sz val="10"/>
      <color rgb="FFFF0000"/>
      <name val="宋体"/>
      <charset val="134"/>
      <scheme val="minor"/>
    </font>
    <font>
      <sz val="9"/>
      <name val="微软雅黑"/>
      <charset val="134"/>
    </font>
    <font>
      <i/>
      <sz val="10"/>
      <name val="宋体"/>
      <charset val="134"/>
      <scheme val="minor"/>
    </font>
    <font>
      <sz val="8"/>
      <name val="Arial"/>
      <charset val="134"/>
    </font>
    <font>
      <b/>
      <sz val="14"/>
      <name val="宋体"/>
      <charset val="134"/>
      <scheme val="minor"/>
    </font>
    <font>
      <sz val="10"/>
      <name val="宋体"/>
      <charset val="134"/>
    </font>
    <font>
      <b/>
      <i/>
      <sz val="10"/>
      <name val="Arial"/>
      <charset val="134"/>
    </font>
    <font>
      <strike/>
      <sz val="10"/>
      <name val="宋体"/>
      <charset val="134"/>
    </font>
    <font>
      <b/>
      <sz val="10"/>
      <color theme="1"/>
      <name val="微软雅黑"/>
      <charset val="134"/>
    </font>
    <font>
      <strike/>
      <sz val="10"/>
      <color theme="1"/>
      <name val="Microsoft YaHei Light"/>
      <charset val="134"/>
    </font>
    <font>
      <strike/>
      <sz val="10"/>
      <name val="Microsoft YaHei Light"/>
      <charset val="134"/>
    </font>
    <font>
      <sz val="9.75"/>
      <color rgb="FF000000"/>
      <name val="宋体"/>
      <charset val="134"/>
      <scheme val="minor"/>
    </font>
    <font>
      <i/>
      <sz val="9.75"/>
      <color rgb="FF000000"/>
      <name val="宋体"/>
      <charset val="134"/>
      <scheme val="minor"/>
    </font>
    <font>
      <sz val="16"/>
      <name val="Arial"/>
      <charset val="134"/>
    </font>
    <font>
      <sz val="8"/>
      <name val="宋体"/>
      <charset val="134"/>
    </font>
    <font>
      <sz val="18"/>
      <name val="Arial"/>
      <charset val="134"/>
    </font>
    <font>
      <sz val="11"/>
      <name val="宋体"/>
      <charset val="134"/>
    </font>
    <font>
      <b/>
      <sz val="12"/>
      <name val="Arial"/>
      <charset val="134"/>
    </font>
    <font>
      <b/>
      <sz val="12"/>
      <name val="宋体"/>
      <charset val="134"/>
    </font>
    <font>
      <b/>
      <sz val="10"/>
      <name val="宋体"/>
      <charset val="134"/>
    </font>
    <font>
      <b/>
      <sz val="14"/>
      <name val="Arial"/>
      <charset val="134"/>
    </font>
    <font>
      <b/>
      <sz val="10"/>
      <name val="Arial"/>
      <charset val="134"/>
    </font>
    <font>
      <sz val="10"/>
      <color indexed="8"/>
      <name val="宋体"/>
      <charset val="134"/>
      <scheme val="minor"/>
    </font>
    <font>
      <strike/>
      <sz val="10"/>
      <color indexed="8"/>
      <name val="宋体"/>
      <charset val="134"/>
      <scheme val="minor"/>
    </font>
    <font>
      <b/>
      <strike/>
      <sz val="10"/>
      <name val="Microsoft YaHei Light"/>
      <charset val="134"/>
    </font>
    <font>
      <sz val="10"/>
      <color rgb="FF000000"/>
      <name val="宋体"/>
      <charset val="134"/>
      <scheme val="minor"/>
    </font>
    <font>
      <sz val="12"/>
      <name val="宋体"/>
      <charset val="134"/>
      <scheme val="minor"/>
    </font>
    <font>
      <sz val="12"/>
      <color theme="1"/>
      <name val="宋体"/>
      <charset val="134"/>
      <scheme val="minor"/>
    </font>
    <font>
      <b/>
      <sz val="18"/>
      <name val="宋体"/>
      <charset val="134"/>
      <scheme val="minor"/>
    </font>
    <font>
      <sz val="18"/>
      <name val="宋体"/>
      <charset val="134"/>
      <scheme val="minor"/>
    </font>
    <font>
      <sz val="26"/>
      <color theme="1"/>
      <name val="宋体"/>
      <charset val="134"/>
      <scheme val="minor"/>
    </font>
    <font>
      <b/>
      <sz val="26"/>
      <name val="宋体"/>
      <charset val="134"/>
      <scheme val="minor"/>
    </font>
    <font>
      <b/>
      <sz val="12"/>
      <name val="宋体"/>
      <charset val="134"/>
      <scheme val="minor"/>
    </font>
    <font>
      <b/>
      <sz val="16"/>
      <name val="宋体"/>
      <charset val="134"/>
      <scheme val="minor"/>
    </font>
    <font>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trike/>
      <sz val="7"/>
      <name val="Small Fonts"/>
      <charset val="134"/>
    </font>
    <font>
      <sz val="11"/>
      <name val="ＭＳ Ｐゴシック"/>
      <charset val="134"/>
    </font>
    <font>
      <sz val="11"/>
      <color indexed="8"/>
      <name val="宋体"/>
      <charset val="134"/>
    </font>
    <font>
      <sz val="9"/>
      <name val="宋体"/>
      <charset val="134"/>
    </font>
    <font>
      <sz val="10"/>
      <color rgb="FFFF0000"/>
      <name val="宋体"/>
      <charset val="134"/>
    </font>
    <font>
      <b/>
      <sz val="10"/>
      <color indexed="8"/>
      <name val="宋体"/>
      <charset val="134"/>
      <scheme val="minor"/>
    </font>
    <font>
      <sz val="12"/>
      <color indexed="8"/>
      <name val="宋体"/>
      <charset val="134"/>
    </font>
    <font>
      <strike/>
      <sz val="10"/>
      <name val="微软雅黑"/>
      <charset val="134"/>
    </font>
    <font>
      <strike/>
      <sz val="10"/>
      <color rgb="FFFF0000"/>
      <name val="Arial"/>
      <charset val="134"/>
    </font>
    <font>
      <sz val="10"/>
      <color rgb="FFFF0000"/>
      <name val="Arial"/>
      <charset val="134"/>
    </font>
    <font>
      <b/>
      <vertAlign val="superscript"/>
      <sz val="10"/>
      <name val="Arial"/>
      <charset val="134"/>
    </font>
    <font>
      <sz val="10"/>
      <color theme="1"/>
      <name val="Cambria Math"/>
      <charset val="134"/>
    </font>
    <font>
      <b/>
      <sz val="9"/>
      <name val="宋体"/>
      <charset val="134"/>
    </font>
    <font>
      <sz val="9"/>
      <name val="宋体"/>
      <charset val="134"/>
    </font>
  </fonts>
  <fills count="63">
    <fill>
      <patternFill patternType="none"/>
    </fill>
    <fill>
      <patternFill patternType="gray125"/>
    </fill>
    <fill>
      <patternFill patternType="solid">
        <fgColor indexed="52"/>
        <bgColor indexed="64"/>
      </patternFill>
    </fill>
    <fill>
      <patternFill patternType="solid">
        <fgColor indexed="55"/>
        <bgColor indexed="64"/>
      </patternFill>
    </fill>
    <fill>
      <patternFill patternType="solid">
        <fgColor indexed="23"/>
        <bgColor indexed="64"/>
      </patternFill>
    </fill>
    <fill>
      <patternFill patternType="solid">
        <fgColor theme="0" tint="-0.349986266670736"/>
        <bgColor indexed="64"/>
      </patternFill>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00"/>
        <bgColor indexed="64"/>
      </patternFill>
    </fill>
    <fill>
      <patternFill patternType="solid">
        <fgColor theme="0" tint="-0.149906918546098"/>
        <bgColor indexed="64"/>
      </patternFill>
    </fill>
    <fill>
      <patternFill patternType="solid">
        <fgColor theme="8" tint="0.399884029663991"/>
        <bgColor indexed="64"/>
      </patternFill>
    </fill>
    <fill>
      <patternFill patternType="solid">
        <fgColor indexed="9"/>
        <bgColor indexed="64"/>
      </patternFill>
    </fill>
    <fill>
      <patternFill patternType="solid">
        <fgColor indexed="22"/>
        <bgColor indexed="8"/>
      </patternFill>
    </fill>
    <fill>
      <patternFill patternType="solid">
        <fgColor theme="8" tint="0.799890133365886"/>
        <bgColor indexed="64"/>
      </patternFill>
    </fill>
    <fill>
      <patternFill patternType="solid">
        <fgColor theme="8" tint="0.799920651875362"/>
        <bgColor indexed="64"/>
      </patternFill>
    </fill>
    <fill>
      <patternFill patternType="solid">
        <fgColor theme="8" tint="0.799981688894314"/>
        <bgColor indexed="64"/>
      </patternFill>
    </fill>
    <fill>
      <patternFill patternType="solid">
        <fgColor theme="8" tint="0.399853511154515"/>
        <bgColor indexed="8"/>
      </patternFill>
    </fill>
    <fill>
      <patternFill patternType="solid">
        <fgColor theme="8" tint="0.399853511154515"/>
        <bgColor indexed="64"/>
      </patternFill>
    </fill>
    <fill>
      <patternFill patternType="solid">
        <fgColor rgb="FFFFC000"/>
        <bgColor indexed="8"/>
      </patternFill>
    </fill>
    <fill>
      <patternFill patternType="solid">
        <fgColor theme="0" tint="-0.499984740745262"/>
        <bgColor indexed="64"/>
      </patternFill>
    </fill>
    <fill>
      <patternFill patternType="solid">
        <fgColor rgb="FF92D050"/>
        <bgColor indexed="64"/>
      </patternFill>
    </fill>
    <fill>
      <patternFill patternType="solid">
        <fgColor rgb="FF00B050"/>
        <bgColor indexed="64"/>
      </patternFill>
    </fill>
    <fill>
      <patternFill patternType="solid">
        <fgColor theme="0" tint="-0.149937437055574"/>
        <bgColor indexed="64"/>
      </patternFill>
    </fill>
    <fill>
      <patternFill patternType="solid">
        <fgColor rgb="FFFFCC99"/>
        <bgColor indexed="64"/>
      </patternFill>
    </fill>
    <fill>
      <patternFill patternType="solid">
        <fgColor rgb="FFFFC000"/>
        <bgColor indexed="64"/>
      </patternFill>
    </fill>
    <fill>
      <patternFill patternType="solid">
        <fgColor theme="0" tint="-0.14996795556505"/>
        <bgColor indexed="64"/>
      </patternFill>
    </fill>
    <fill>
      <patternFill patternType="solid">
        <fgColor rgb="FF00B0F0"/>
        <bgColor indexed="64"/>
      </patternFill>
    </fill>
    <fill>
      <patternFill patternType="solid">
        <fgColor rgb="FFFF0000"/>
        <bgColor indexed="64"/>
      </patternFill>
    </fill>
    <fill>
      <patternFill patternType="solid">
        <fgColor theme="0" tint="-0.149876400036622"/>
        <bgColor indexed="64"/>
      </patternFill>
    </fill>
    <fill>
      <patternFill patternType="solid">
        <fgColor theme="8" tint="0.399914548173467"/>
        <bgColor indexed="64"/>
      </patternFill>
    </fill>
    <fill>
      <patternFill patternType="solid">
        <fgColor theme="0" tint="-0.04998931852168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bottom style="thin">
        <color indexed="59"/>
      </bottom>
      <diagonal/>
    </border>
    <border>
      <left style="thin">
        <color auto="1"/>
      </left>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indexed="59"/>
      </right>
      <top/>
      <bottom/>
      <diagonal/>
    </border>
    <border>
      <left style="medium">
        <color auto="1"/>
      </left>
      <right/>
      <top style="medium">
        <color auto="1"/>
      </top>
      <bottom/>
      <diagonal/>
    </border>
    <border>
      <left/>
      <right/>
      <top style="medium">
        <color auto="1"/>
      </top>
      <bottom style="double">
        <color auto="1"/>
      </bottom>
      <diagonal/>
    </border>
    <border>
      <left/>
      <right style="medium">
        <color auto="1"/>
      </right>
      <top style="medium">
        <color auto="1"/>
      </top>
      <bottom/>
      <diagonal/>
    </border>
    <border>
      <left style="medium">
        <color auto="1"/>
      </left>
      <right/>
      <top/>
      <bottom/>
      <diagonal/>
    </border>
    <border>
      <left style="double">
        <color auto="1"/>
      </left>
      <right/>
      <top style="double">
        <color auto="1"/>
      </top>
      <bottom/>
      <diagonal/>
    </border>
    <border>
      <left/>
      <right style="thin">
        <color auto="1"/>
      </right>
      <top style="double">
        <color auto="1"/>
      </top>
      <bottom/>
      <diagonal/>
    </border>
    <border>
      <left/>
      <right style="double">
        <color auto="1"/>
      </right>
      <top/>
      <bottom/>
      <diagonal/>
    </border>
    <border>
      <left style="double">
        <color auto="1"/>
      </left>
      <right style="medium">
        <color auto="1"/>
      </right>
      <top/>
      <bottom/>
      <diagonal/>
    </border>
    <border>
      <left style="double">
        <color auto="1"/>
      </left>
      <right/>
      <top/>
      <bottom style="thin">
        <color auto="1"/>
      </bottom>
      <diagonal/>
    </border>
    <border>
      <left/>
      <right style="double">
        <color auto="1"/>
      </right>
      <top/>
      <bottom style="thin">
        <color auto="1"/>
      </bottom>
      <diagonal/>
    </border>
    <border>
      <left/>
      <right style="medium">
        <color auto="1"/>
      </right>
      <top/>
      <bottom/>
      <diagonal/>
    </border>
    <border>
      <left style="double">
        <color auto="1"/>
      </left>
      <right/>
      <top/>
      <bottom/>
      <diagonal/>
    </border>
    <border>
      <left/>
      <right/>
      <top style="thin">
        <color auto="1"/>
      </top>
      <bottom/>
      <diagonal/>
    </border>
    <border>
      <left/>
      <right style="double">
        <color auto="1"/>
      </right>
      <top style="thin">
        <color auto="1"/>
      </top>
      <bottom/>
      <diagonal/>
    </border>
    <border>
      <left style="medium">
        <color auto="1"/>
      </left>
      <right style="double">
        <color auto="1"/>
      </right>
      <top/>
      <bottom/>
      <diagonal/>
    </border>
    <border>
      <left/>
      <right/>
      <top/>
      <bottom style="double">
        <color auto="1"/>
      </bottom>
      <diagonal/>
    </border>
    <border>
      <left/>
      <right style="thin">
        <color auto="1"/>
      </right>
      <top/>
      <bottom style="double">
        <color auto="1"/>
      </bottom>
      <diagonal/>
    </border>
    <border>
      <left style="thin">
        <color auto="1"/>
      </left>
      <right/>
      <top/>
      <bottom style="double">
        <color auto="1"/>
      </bottom>
      <diagonal/>
    </border>
    <border>
      <left/>
      <right style="double">
        <color auto="1"/>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5">
    <xf numFmtId="0" fontId="0" fillId="0" borderId="0">
      <alignment vertical="center"/>
    </xf>
    <xf numFmtId="43" fontId="103" fillId="0" borderId="0" applyFont="0" applyFill="0" applyBorder="0" applyAlignment="0" applyProtection="0">
      <alignment vertical="center"/>
    </xf>
    <xf numFmtId="44" fontId="103" fillId="0" borderId="0" applyFont="0" applyFill="0" applyBorder="0" applyAlignment="0" applyProtection="0">
      <alignment vertical="center"/>
    </xf>
    <xf numFmtId="9" fontId="103" fillId="0" borderId="0" applyFont="0" applyFill="0" applyBorder="0" applyAlignment="0" applyProtection="0">
      <alignment vertical="center"/>
    </xf>
    <xf numFmtId="41" fontId="103" fillId="0" borderId="0" applyFont="0" applyFill="0" applyBorder="0" applyAlignment="0" applyProtection="0">
      <alignment vertical="center"/>
    </xf>
    <xf numFmtId="42" fontId="103" fillId="0" borderId="0" applyFont="0" applyFill="0" applyBorder="0" applyAlignment="0" applyProtection="0">
      <alignment vertical="center"/>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3" fillId="32" borderId="75" applyNumberFormat="0" applyFont="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0" borderId="76" applyNumberFormat="0" applyFill="0" applyAlignment="0" applyProtection="0">
      <alignment vertical="center"/>
    </xf>
    <xf numFmtId="0" fontId="110" fillId="0" borderId="76" applyNumberFormat="0" applyFill="0" applyAlignment="0" applyProtection="0">
      <alignment vertical="center"/>
    </xf>
    <xf numFmtId="0" fontId="111" fillId="0" borderId="77" applyNumberFormat="0" applyFill="0" applyAlignment="0" applyProtection="0">
      <alignment vertical="center"/>
    </xf>
    <xf numFmtId="0" fontId="111" fillId="0" borderId="0" applyNumberFormat="0" applyFill="0" applyBorder="0" applyAlignment="0" applyProtection="0">
      <alignment vertical="center"/>
    </xf>
    <xf numFmtId="0" fontId="112" fillId="33" borderId="78" applyNumberFormat="0" applyAlignment="0" applyProtection="0">
      <alignment vertical="center"/>
    </xf>
    <xf numFmtId="0" fontId="113" fillId="34" borderId="79" applyNumberFormat="0" applyAlignment="0" applyProtection="0">
      <alignment vertical="center"/>
    </xf>
    <xf numFmtId="0" fontId="114" fillId="34" borderId="78" applyNumberFormat="0" applyAlignment="0" applyProtection="0">
      <alignment vertical="center"/>
    </xf>
    <xf numFmtId="0" fontId="115" fillId="35" borderId="80" applyNumberFormat="0" applyAlignment="0" applyProtection="0">
      <alignment vertical="center"/>
    </xf>
    <xf numFmtId="0" fontId="116" fillId="0" borderId="81" applyNumberFormat="0" applyFill="0" applyAlignment="0" applyProtection="0">
      <alignment vertical="center"/>
    </xf>
    <xf numFmtId="0" fontId="117" fillId="0" borderId="82" applyNumberFormat="0" applyFill="0" applyAlignment="0" applyProtection="0">
      <alignment vertical="center"/>
    </xf>
    <xf numFmtId="0" fontId="118" fillId="36" borderId="0" applyNumberFormat="0" applyBorder="0" applyAlignment="0" applyProtection="0">
      <alignment vertical="center"/>
    </xf>
    <xf numFmtId="0" fontId="119" fillId="37" borderId="0" applyNumberFormat="0" applyBorder="0" applyAlignment="0" applyProtection="0">
      <alignment vertical="center"/>
    </xf>
    <xf numFmtId="0" fontId="120" fillId="38" borderId="0" applyNumberFormat="0" applyBorder="0" applyAlignment="0" applyProtection="0">
      <alignment vertical="center"/>
    </xf>
    <xf numFmtId="0" fontId="121" fillId="39" borderId="0" applyNumberFormat="0" applyBorder="0" applyAlignment="0" applyProtection="0">
      <alignment vertical="center"/>
    </xf>
    <xf numFmtId="0" fontId="122" fillId="40" borderId="0" applyNumberFormat="0" applyBorder="0" applyAlignment="0" applyProtection="0">
      <alignment vertical="center"/>
    </xf>
    <xf numFmtId="0" fontId="122" fillId="41" borderId="0" applyNumberFormat="0" applyBorder="0" applyAlignment="0" applyProtection="0">
      <alignment vertical="center"/>
    </xf>
    <xf numFmtId="0" fontId="121" fillId="42" borderId="0" applyNumberFormat="0" applyBorder="0" applyAlignment="0" applyProtection="0">
      <alignment vertical="center"/>
    </xf>
    <xf numFmtId="0" fontId="121" fillId="43" borderId="0" applyNumberFormat="0" applyBorder="0" applyAlignment="0" applyProtection="0">
      <alignment vertical="center"/>
    </xf>
    <xf numFmtId="0" fontId="122" fillId="44" borderId="0" applyNumberFormat="0" applyBorder="0" applyAlignment="0" applyProtection="0">
      <alignment vertical="center"/>
    </xf>
    <xf numFmtId="0" fontId="122" fillId="45" borderId="0" applyNumberFormat="0" applyBorder="0" applyAlignment="0" applyProtection="0">
      <alignment vertical="center"/>
    </xf>
    <xf numFmtId="0" fontId="121" fillId="46" borderId="0" applyNumberFormat="0" applyBorder="0" applyAlignment="0" applyProtection="0">
      <alignment vertical="center"/>
    </xf>
    <xf numFmtId="0" fontId="121" fillId="47" borderId="0" applyNumberFormat="0" applyBorder="0" applyAlignment="0" applyProtection="0">
      <alignment vertical="center"/>
    </xf>
    <xf numFmtId="0" fontId="122" fillId="48" borderId="0" applyNumberFormat="0" applyBorder="0" applyAlignment="0" applyProtection="0">
      <alignment vertical="center"/>
    </xf>
    <xf numFmtId="0" fontId="122" fillId="49" borderId="0" applyNumberFormat="0" applyBorder="0" applyAlignment="0" applyProtection="0">
      <alignment vertical="center"/>
    </xf>
    <xf numFmtId="0" fontId="121" fillId="50" borderId="0" applyNumberFormat="0" applyBorder="0" applyAlignment="0" applyProtection="0">
      <alignment vertical="center"/>
    </xf>
    <xf numFmtId="0" fontId="121" fillId="51" borderId="0" applyNumberFormat="0" applyBorder="0" applyAlignment="0" applyProtection="0">
      <alignment vertical="center"/>
    </xf>
    <xf numFmtId="0" fontId="122" fillId="52" borderId="0" applyNumberFormat="0" applyBorder="0" applyAlignment="0" applyProtection="0">
      <alignment vertical="center"/>
    </xf>
    <xf numFmtId="0" fontId="122" fillId="53" borderId="0" applyNumberFormat="0" applyBorder="0" applyAlignment="0" applyProtection="0">
      <alignment vertical="center"/>
    </xf>
    <xf numFmtId="0" fontId="121" fillId="54" borderId="0" applyNumberFormat="0" applyBorder="0" applyAlignment="0" applyProtection="0">
      <alignment vertical="center"/>
    </xf>
    <xf numFmtId="0" fontId="121" fillId="55" borderId="0" applyNumberFormat="0" applyBorder="0" applyAlignment="0" applyProtection="0">
      <alignment vertical="center"/>
    </xf>
    <xf numFmtId="0" fontId="122" fillId="56" borderId="0" applyNumberFormat="0" applyBorder="0" applyAlignment="0" applyProtection="0">
      <alignment vertical="center"/>
    </xf>
    <xf numFmtId="0" fontId="122" fillId="57" borderId="0" applyNumberFormat="0" applyBorder="0" applyAlignment="0" applyProtection="0">
      <alignment vertical="center"/>
    </xf>
    <xf numFmtId="0" fontId="121" fillId="58" borderId="0" applyNumberFormat="0" applyBorder="0" applyAlignment="0" applyProtection="0">
      <alignment vertical="center"/>
    </xf>
    <xf numFmtId="0" fontId="121" fillId="59" borderId="0" applyNumberFormat="0" applyBorder="0" applyAlignment="0" applyProtection="0">
      <alignment vertical="center"/>
    </xf>
    <xf numFmtId="0" fontId="122" fillId="60" borderId="0" applyNumberFormat="0" applyBorder="0" applyAlignment="0" applyProtection="0">
      <alignment vertical="center"/>
    </xf>
    <xf numFmtId="0" fontId="122" fillId="61" borderId="0" applyNumberFormat="0" applyBorder="0" applyAlignment="0" applyProtection="0">
      <alignment vertical="center"/>
    </xf>
    <xf numFmtId="0" fontId="121" fillId="62" borderId="0" applyNumberFormat="0" applyBorder="0" applyAlignment="0" applyProtection="0">
      <alignment vertical="center"/>
    </xf>
    <xf numFmtId="176" fontId="123" fillId="0" borderId="0"/>
    <xf numFmtId="176" fontId="123" fillId="0" borderId="0">
      <alignment vertical="center"/>
    </xf>
    <xf numFmtId="176" fontId="123" fillId="0" borderId="0">
      <alignment vertical="center"/>
    </xf>
    <xf numFmtId="176" fontId="124" fillId="0" borderId="11" applyFill="0" applyBorder="0" applyAlignment="0" applyProtection="0"/>
    <xf numFmtId="176" fontId="124" fillId="0" borderId="11" applyFill="0" applyBorder="0" applyAlignment="0" applyProtection="0">
      <alignment vertical="center"/>
    </xf>
    <xf numFmtId="0" fontId="125" fillId="0" borderId="0" applyProtection="0">
      <alignment vertical="center"/>
    </xf>
    <xf numFmtId="176" fontId="5" fillId="0" borderId="0">
      <alignment vertical="center"/>
    </xf>
    <xf numFmtId="176" fontId="5" fillId="0" borderId="0">
      <alignment vertical="center"/>
    </xf>
    <xf numFmtId="0" fontId="5" fillId="0" borderId="0" applyAlignment="0">
      <alignment vertical="center"/>
    </xf>
    <xf numFmtId="0" fontId="5" fillId="0" borderId="0" applyAlignment="0"/>
    <xf numFmtId="0" fontId="65" fillId="0" borderId="0" applyAlignment="0">
      <alignment vertical="center"/>
    </xf>
    <xf numFmtId="176" fontId="5" fillId="0" borderId="0"/>
    <xf numFmtId="0" fontId="65" fillId="0" borderId="0"/>
    <xf numFmtId="0" fontId="5" fillId="0" borderId="0">
      <alignment vertical="center"/>
    </xf>
    <xf numFmtId="0" fontId="5" fillId="0" borderId="0" applyAlignment="0">
      <alignment vertical="center"/>
    </xf>
    <xf numFmtId="0" fontId="18" fillId="0" borderId="0">
      <alignment vertical="center"/>
    </xf>
    <xf numFmtId="0" fontId="18" fillId="0" borderId="0"/>
    <xf numFmtId="176" fontId="18" fillId="0" borderId="0">
      <alignment vertical="center"/>
    </xf>
    <xf numFmtId="177" fontId="5" fillId="0" borderId="0">
      <alignment vertical="center"/>
    </xf>
    <xf numFmtId="0" fontId="126" fillId="0" borderId="0"/>
    <xf numFmtId="0" fontId="84" fillId="0" borderId="0">
      <alignment vertical="center"/>
    </xf>
    <xf numFmtId="0" fontId="65" fillId="0" borderId="0"/>
    <xf numFmtId="0" fontId="18" fillId="0" borderId="0"/>
    <xf numFmtId="177" fontId="5" fillId="0" borderId="0">
      <alignment vertical="center"/>
    </xf>
    <xf numFmtId="176" fontId="5" fillId="0" borderId="0">
      <alignment vertical="center"/>
    </xf>
    <xf numFmtId="0" fontId="127" fillId="0" borderId="0">
      <alignment vertical="center"/>
    </xf>
  </cellStyleXfs>
  <cellXfs count="1332">
    <xf numFmtId="0" fontId="0" fillId="0" borderId="0" xfId="0">
      <alignment vertical="center"/>
    </xf>
    <xf numFmtId="0" fontId="1" fillId="0" borderId="0" xfId="65" applyFont="1" applyAlignment="1">
      <alignment vertical="center"/>
    </xf>
    <xf numFmtId="0" fontId="1" fillId="0" borderId="0" xfId="65" applyFont="1" applyFill="1" applyAlignment="1">
      <alignment vertical="center"/>
    </xf>
    <xf numFmtId="0" fontId="2" fillId="0" borderId="0" xfId="65" applyFont="1" applyAlignment="1">
      <alignment horizontal="center" vertical="center"/>
    </xf>
    <xf numFmtId="0" fontId="2" fillId="0" borderId="0" xfId="65" applyFont="1" applyAlignment="1">
      <alignment vertical="center"/>
    </xf>
    <xf numFmtId="0" fontId="3" fillId="2" borderId="1" xfId="65" applyFont="1" applyFill="1" applyBorder="1" applyAlignment="1">
      <alignment vertical="center"/>
    </xf>
    <xf numFmtId="0" fontId="3" fillId="2" borderId="1" xfId="65" applyFont="1" applyFill="1" applyBorder="1" applyAlignment="1">
      <alignment horizontal="left" vertical="center"/>
    </xf>
    <xf numFmtId="0" fontId="3" fillId="2" borderId="2" xfId="65" applyFont="1" applyFill="1" applyBorder="1" applyAlignment="1">
      <alignment horizontal="left" vertical="center"/>
    </xf>
    <xf numFmtId="0" fontId="3" fillId="2" borderId="3" xfId="65" applyFont="1" applyFill="1" applyBorder="1" applyAlignment="1">
      <alignment horizontal="left" vertical="top"/>
    </xf>
    <xf numFmtId="0" fontId="3" fillId="3" borderId="3" xfId="65" applyFont="1" applyFill="1" applyBorder="1"/>
    <xf numFmtId="0" fontId="3" fillId="3" borderId="3" xfId="65" applyFont="1" applyFill="1" applyBorder="1" applyAlignment="1">
      <alignment horizontal="center" vertical="center"/>
    </xf>
    <xf numFmtId="0" fontId="3" fillId="3" borderId="3" xfId="65" applyFont="1" applyFill="1" applyBorder="1" applyAlignment="1">
      <alignment vertical="center"/>
    </xf>
    <xf numFmtId="0" fontId="3" fillId="4" borderId="3" xfId="65" applyFont="1" applyFill="1" applyBorder="1" applyAlignment="1">
      <alignment vertical="center"/>
    </xf>
    <xf numFmtId="0" fontId="1" fillId="3" borderId="3" xfId="65" applyFont="1" applyFill="1" applyBorder="1" applyAlignment="1">
      <alignment vertical="center"/>
    </xf>
    <xf numFmtId="0" fontId="1" fillId="5" borderId="3" xfId="65" applyFont="1" applyFill="1" applyBorder="1" applyAlignment="1">
      <alignment horizontal="left" vertical="top"/>
    </xf>
    <xf numFmtId="0" fontId="4" fillId="0" borderId="3" xfId="65" applyFont="1" applyBorder="1" applyAlignment="1">
      <alignment horizontal="center" vertical="center" wrapText="1"/>
    </xf>
    <xf numFmtId="0" fontId="4" fillId="0" borderId="3" xfId="65" applyFont="1" applyFill="1" applyBorder="1" applyAlignment="1">
      <alignment vertical="center" wrapText="1"/>
    </xf>
    <xf numFmtId="0" fontId="4" fillId="0" borderId="3" xfId="65" applyFont="1" applyFill="1" applyBorder="1" applyAlignment="1">
      <alignment horizontal="center" vertical="center" wrapText="1"/>
    </xf>
    <xf numFmtId="0" fontId="1" fillId="0" borderId="3" xfId="65" applyFont="1" applyFill="1" applyBorder="1" applyAlignment="1">
      <alignment horizontal="center" vertical="center"/>
    </xf>
    <xf numFmtId="0" fontId="1" fillId="0" borderId="3" xfId="65" applyFont="1" applyFill="1" applyBorder="1" applyAlignment="1">
      <alignment horizontal="left" vertical="center"/>
    </xf>
    <xf numFmtId="0" fontId="1" fillId="0" borderId="3" xfId="65" applyFont="1" applyFill="1" applyBorder="1" applyAlignment="1">
      <alignment vertical="center" wrapText="1"/>
    </xf>
    <xf numFmtId="0" fontId="4" fillId="0" borderId="3" xfId="65" applyFont="1" applyBorder="1" applyAlignment="1">
      <alignment vertical="center" wrapText="1"/>
    </xf>
    <xf numFmtId="0" fontId="5" fillId="0" borderId="3" xfId="65" applyFont="1" applyBorder="1" applyAlignment="1">
      <alignment vertical="center"/>
    </xf>
    <xf numFmtId="0" fontId="1" fillId="6" borderId="3" xfId="65" applyFont="1" applyFill="1" applyBorder="1" applyAlignment="1">
      <alignment horizontal="center" vertical="center"/>
    </xf>
    <xf numFmtId="0" fontId="1" fillId="0" borderId="3" xfId="65" applyFont="1" applyBorder="1" applyAlignment="1">
      <alignment horizontal="center" vertical="center"/>
    </xf>
    <xf numFmtId="0" fontId="1" fillId="0" borderId="3" xfId="65" applyFont="1" applyBorder="1" applyAlignment="1">
      <alignment vertical="center"/>
    </xf>
    <xf numFmtId="0" fontId="4" fillId="0" borderId="4" xfId="65" applyFont="1" applyFill="1" applyBorder="1" applyAlignment="1">
      <alignment horizontal="center" vertical="center" wrapText="1"/>
    </xf>
    <xf numFmtId="0" fontId="5" fillId="0" borderId="3" xfId="65" applyFont="1" applyFill="1" applyBorder="1" applyAlignment="1">
      <alignment vertical="center"/>
    </xf>
    <xf numFmtId="0" fontId="4" fillId="0" borderId="4" xfId="65" applyFont="1" applyFill="1" applyBorder="1" applyAlignment="1">
      <alignment horizontal="left" vertical="center" wrapText="1"/>
    </xf>
    <xf numFmtId="0" fontId="4" fillId="0" borderId="5" xfId="65" applyFont="1" applyFill="1" applyBorder="1" applyAlignment="1">
      <alignment horizontal="center" vertical="center" wrapText="1"/>
    </xf>
    <xf numFmtId="0" fontId="4" fillId="0" borderId="6" xfId="65" applyFont="1" applyFill="1" applyBorder="1" applyAlignment="1">
      <alignment horizontal="center" vertical="center" wrapText="1"/>
    </xf>
    <xf numFmtId="0" fontId="1" fillId="0" borderId="4" xfId="65" applyFont="1" applyFill="1" applyBorder="1" applyAlignment="1">
      <alignment horizontal="center" vertical="center"/>
    </xf>
    <xf numFmtId="0" fontId="5" fillId="0" borderId="7" xfId="65" applyFont="1" applyFill="1" applyBorder="1" applyAlignment="1">
      <alignment vertical="center"/>
    </xf>
    <xf numFmtId="0" fontId="4" fillId="0" borderId="5" xfId="65" applyFont="1" applyFill="1" applyBorder="1" applyAlignment="1">
      <alignment horizontal="left" vertical="center" wrapText="1"/>
    </xf>
    <xf numFmtId="0" fontId="1" fillId="0" borderId="5" xfId="65" applyFont="1" applyFill="1" applyBorder="1" applyAlignment="1">
      <alignment horizontal="center" vertical="center"/>
    </xf>
    <xf numFmtId="0" fontId="4" fillId="0" borderId="6" xfId="65" applyFont="1" applyFill="1" applyBorder="1" applyAlignment="1">
      <alignment horizontal="left" vertical="center" wrapText="1"/>
    </xf>
    <xf numFmtId="0" fontId="1" fillId="0" borderId="6" xfId="65" applyFont="1" applyFill="1" applyBorder="1" applyAlignment="1">
      <alignment horizontal="center" vertical="center"/>
    </xf>
    <xf numFmtId="0" fontId="4" fillId="7" borderId="3" xfId="65" applyFont="1" applyFill="1" applyBorder="1" applyAlignment="1">
      <alignment horizontal="center" vertical="center" wrapText="1"/>
    </xf>
    <xf numFmtId="0" fontId="4" fillId="7" borderId="3" xfId="65" applyFont="1" applyFill="1" applyBorder="1" applyAlignment="1">
      <alignment vertical="center" wrapText="1"/>
    </xf>
    <xf numFmtId="0" fontId="1" fillId="7" borderId="3" xfId="65" applyFont="1" applyFill="1" applyBorder="1" applyAlignment="1">
      <alignment horizontal="center" vertical="center"/>
    </xf>
    <xf numFmtId="0" fontId="1" fillId="7" borderId="3" xfId="65" applyFont="1" applyFill="1" applyBorder="1" applyAlignment="1">
      <alignment horizontal="left" vertical="center"/>
    </xf>
    <xf numFmtId="0" fontId="1" fillId="7" borderId="3" xfId="65" applyFont="1" applyFill="1" applyBorder="1" applyAlignment="1">
      <alignment vertical="center" wrapText="1"/>
    </xf>
    <xf numFmtId="0" fontId="5" fillId="7" borderId="3" xfId="65" applyFont="1" applyFill="1" applyBorder="1" applyAlignment="1">
      <alignment vertical="center"/>
    </xf>
    <xf numFmtId="0" fontId="1" fillId="0" borderId="0" xfId="65" applyFont="1" applyFill="1" applyAlignment="1">
      <alignment horizontal="center" vertical="center"/>
    </xf>
    <xf numFmtId="0" fontId="6" fillId="0" borderId="3" xfId="65" applyFont="1" applyBorder="1" applyAlignment="1">
      <alignment horizontal="left" vertical="center"/>
    </xf>
    <xf numFmtId="0" fontId="3" fillId="0" borderId="3" xfId="65" applyFont="1" applyFill="1" applyBorder="1" applyAlignment="1">
      <alignment vertical="center"/>
    </xf>
    <xf numFmtId="0" fontId="1" fillId="0" borderId="3" xfId="65" applyFont="1" applyBorder="1" applyAlignment="1">
      <alignment vertical="center" wrapText="1"/>
    </xf>
    <xf numFmtId="0" fontId="1" fillId="0" borderId="3" xfId="65" applyFont="1" applyBorder="1" applyAlignment="1">
      <alignment horizontal="center" vertical="center" wrapText="1"/>
    </xf>
    <xf numFmtId="0" fontId="1" fillId="0" borderId="3" xfId="65" applyFont="1" applyFill="1" applyBorder="1" applyAlignment="1">
      <alignment vertical="center"/>
    </xf>
    <xf numFmtId="0" fontId="7" fillId="8" borderId="0" xfId="65" applyFont="1" applyFill="1" applyBorder="1" applyAlignment="1">
      <alignment horizontal="left" vertical="center"/>
    </xf>
    <xf numFmtId="0" fontId="1" fillId="0" borderId="0" xfId="65" applyFont="1" applyFill="1" applyBorder="1"/>
    <xf numFmtId="0" fontId="1" fillId="7" borderId="0" xfId="65" applyFont="1" applyFill="1" applyBorder="1"/>
    <xf numFmtId="0" fontId="1" fillId="0" borderId="0" xfId="65" applyFont="1" applyBorder="1"/>
    <xf numFmtId="49" fontId="1" fillId="0" borderId="0" xfId="65" applyNumberFormat="1" applyFont="1" applyBorder="1"/>
    <xf numFmtId="0" fontId="1" fillId="0" borderId="0" xfId="65" applyFont="1" applyBorder="1" applyAlignment="1">
      <alignment wrapText="1"/>
    </xf>
    <xf numFmtId="0" fontId="1" fillId="0" borderId="0" xfId="65" applyFont="1" applyBorder="1" applyAlignment="1">
      <alignment horizontal="center" vertical="center"/>
    </xf>
    <xf numFmtId="49" fontId="1" fillId="2" borderId="0" xfId="65" applyNumberFormat="1" applyFont="1" applyFill="1" applyBorder="1" applyAlignment="1">
      <alignment horizontal="left" vertical="top"/>
    </xf>
    <xf numFmtId="0" fontId="1" fillId="2" borderId="0" xfId="65" applyFont="1" applyFill="1" applyBorder="1" applyAlignment="1">
      <alignment horizontal="left" vertical="top"/>
    </xf>
    <xf numFmtId="0" fontId="1" fillId="2" borderId="0" xfId="65" applyFont="1" applyFill="1" applyBorder="1" applyAlignment="1">
      <alignment horizontal="left" vertical="top" wrapText="1"/>
    </xf>
    <xf numFmtId="0" fontId="1" fillId="2" borderId="0" xfId="65" applyFont="1" applyFill="1" applyBorder="1" applyAlignment="1">
      <alignment horizontal="center" vertical="center"/>
    </xf>
    <xf numFmtId="49" fontId="8" fillId="8" borderId="3" xfId="65" applyNumberFormat="1" applyFont="1" applyFill="1" applyBorder="1" applyAlignment="1">
      <alignment horizontal="left" vertical="center"/>
    </xf>
    <xf numFmtId="0" fontId="8" fillId="8" borderId="3" xfId="65" applyFont="1" applyFill="1" applyBorder="1" applyAlignment="1">
      <alignment horizontal="left" vertical="center"/>
    </xf>
    <xf numFmtId="0" fontId="9" fillId="8" borderId="3" xfId="65" applyFont="1" applyFill="1" applyBorder="1" applyAlignment="1">
      <alignment horizontal="left" vertical="center"/>
    </xf>
    <xf numFmtId="0" fontId="8" fillId="8" borderId="3" xfId="65" applyFont="1" applyFill="1" applyBorder="1" applyAlignment="1">
      <alignment horizontal="left" vertical="center" wrapText="1"/>
    </xf>
    <xf numFmtId="0" fontId="8" fillId="8" borderId="3" xfId="65" applyFont="1" applyFill="1" applyBorder="1" applyAlignment="1">
      <alignment horizontal="center" vertical="center"/>
    </xf>
    <xf numFmtId="0" fontId="9" fillId="8" borderId="3" xfId="65" applyFont="1" applyFill="1" applyBorder="1" applyAlignment="1">
      <alignment horizontal="center" vertical="center"/>
    </xf>
    <xf numFmtId="0" fontId="10" fillId="0" borderId="3" xfId="65" applyFont="1" applyFill="1" applyBorder="1" applyAlignment="1">
      <alignment vertical="top"/>
    </xf>
    <xf numFmtId="0" fontId="10" fillId="0" borderId="3" xfId="65" applyFont="1" applyFill="1" applyBorder="1" applyAlignment="1">
      <alignment vertical="top" wrapText="1"/>
    </xf>
    <xf numFmtId="0" fontId="10" fillId="0" borderId="3" xfId="65" applyFont="1" applyFill="1" applyBorder="1" applyAlignment="1">
      <alignment horizontal="center" vertical="center"/>
    </xf>
    <xf numFmtId="0" fontId="10" fillId="0" borderId="3" xfId="65" applyFont="1" applyFill="1" applyBorder="1"/>
    <xf numFmtId="0" fontId="10" fillId="0" borderId="3" xfId="65" applyFont="1" applyFill="1" applyBorder="1" applyAlignment="1">
      <alignment wrapText="1"/>
    </xf>
    <xf numFmtId="0" fontId="11" fillId="0" borderId="3" xfId="65" applyFont="1" applyFill="1" applyBorder="1" applyAlignment="1">
      <alignment horizontal="center" vertical="center"/>
    </xf>
    <xf numFmtId="0" fontId="10" fillId="0" borderId="3" xfId="65" applyFont="1" applyFill="1" applyBorder="1" applyAlignment="1">
      <alignment horizontal="left" vertical="center" wrapText="1"/>
    </xf>
    <xf numFmtId="0" fontId="10" fillId="0" borderId="3" xfId="65" applyFont="1" applyFill="1" applyBorder="1" applyAlignment="1">
      <alignment horizontal="left" vertical="center"/>
    </xf>
    <xf numFmtId="0" fontId="10" fillId="0" borderId="3" xfId="65" applyFont="1" applyFill="1" applyBorder="1" applyAlignment="1">
      <alignment vertical="center"/>
    </xf>
    <xf numFmtId="0" fontId="12" fillId="9" borderId="3" xfId="65" applyFont="1" applyFill="1" applyBorder="1" applyAlignment="1">
      <alignment horizontal="center" vertical="center"/>
    </xf>
    <xf numFmtId="0" fontId="10" fillId="0" borderId="3" xfId="65" applyFont="1" applyFill="1" applyBorder="1" applyAlignment="1">
      <alignment horizontal="center" vertical="center" wrapText="1"/>
    </xf>
    <xf numFmtId="0" fontId="10" fillId="0" borderId="3" xfId="65" applyFont="1" applyFill="1" applyBorder="1" applyAlignment="1">
      <alignment horizontal="center"/>
    </xf>
    <xf numFmtId="0" fontId="10" fillId="0" borderId="3" xfId="65" applyFont="1" applyFill="1" applyBorder="1" applyAlignment="1">
      <alignment horizontal="center" vertical="top"/>
    </xf>
    <xf numFmtId="0" fontId="10" fillId="0" borderId="0" xfId="65" applyFont="1" applyFill="1" applyBorder="1" applyAlignment="1">
      <alignment vertical="top"/>
    </xf>
    <xf numFmtId="0" fontId="10" fillId="0" borderId="0" xfId="65" applyFont="1" applyFill="1" applyBorder="1" applyAlignment="1">
      <alignment vertical="top" wrapText="1"/>
    </xf>
    <xf numFmtId="0" fontId="10" fillId="0" borderId="0" xfId="65" applyFont="1" applyFill="1" applyBorder="1" applyAlignment="1">
      <alignment horizontal="center" vertical="center"/>
    </xf>
    <xf numFmtId="0" fontId="10" fillId="0" borderId="0" xfId="65" applyFont="1" applyFill="1" applyBorder="1"/>
    <xf numFmtId="0" fontId="10" fillId="0" borderId="0" xfId="65" applyFont="1" applyFill="1" applyBorder="1" applyAlignment="1">
      <alignment wrapText="1"/>
    </xf>
    <xf numFmtId="0" fontId="11" fillId="0" borderId="0" xfId="65" applyFont="1" applyFill="1" applyAlignment="1">
      <alignment horizontal="center" vertical="center"/>
    </xf>
    <xf numFmtId="0" fontId="10" fillId="0" borderId="0" xfId="65" applyFont="1" applyFill="1" applyBorder="1" applyAlignment="1">
      <alignment horizontal="left" vertical="center" wrapText="1"/>
    </xf>
    <xf numFmtId="0" fontId="10" fillId="0" borderId="0" xfId="65" applyFont="1" applyFill="1" applyBorder="1" applyAlignment="1">
      <alignment horizontal="center" vertical="top"/>
    </xf>
    <xf numFmtId="0" fontId="10" fillId="0" borderId="0" xfId="65" applyFont="1" applyFill="1" applyBorder="1" applyAlignment="1">
      <alignment horizontal="left" vertical="center"/>
    </xf>
    <xf numFmtId="0" fontId="10" fillId="10" borderId="3" xfId="65" applyFont="1" applyFill="1" applyBorder="1" applyAlignment="1">
      <alignment vertical="top"/>
    </xf>
    <xf numFmtId="0" fontId="10" fillId="10" borderId="3" xfId="65" applyFont="1" applyFill="1" applyBorder="1" applyAlignment="1">
      <alignment vertical="top" wrapText="1"/>
    </xf>
    <xf numFmtId="0" fontId="10" fillId="10" borderId="3" xfId="65" applyFont="1" applyFill="1" applyBorder="1" applyAlignment="1">
      <alignment horizontal="center" vertical="center"/>
    </xf>
    <xf numFmtId="0" fontId="10" fillId="10" borderId="3" xfId="65" applyFont="1" applyFill="1" applyBorder="1"/>
    <xf numFmtId="0" fontId="10" fillId="10" borderId="3" xfId="65" applyFont="1" applyFill="1" applyBorder="1" applyAlignment="1">
      <alignment wrapText="1"/>
    </xf>
    <xf numFmtId="0" fontId="11" fillId="10" borderId="3" xfId="65" applyFont="1" applyFill="1" applyBorder="1" applyAlignment="1">
      <alignment horizontal="center" vertical="center"/>
    </xf>
    <xf numFmtId="0" fontId="10" fillId="10" borderId="3" xfId="65" applyFont="1" applyFill="1" applyBorder="1" applyAlignment="1">
      <alignment horizontal="left" vertical="center"/>
    </xf>
    <xf numFmtId="49" fontId="10" fillId="10" borderId="3" xfId="65" applyNumberFormat="1" applyFont="1" applyFill="1" applyBorder="1"/>
    <xf numFmtId="0" fontId="13" fillId="0" borderId="0" xfId="64" applyFont="1" applyAlignment="1">
      <alignment vertical="center"/>
    </xf>
    <xf numFmtId="0" fontId="13" fillId="0" borderId="0" xfId="64" applyFont="1" applyAlignment="1"/>
    <xf numFmtId="0" fontId="14" fillId="11" borderId="1" xfId="64" applyFont="1" applyFill="1" applyBorder="1" applyAlignment="1">
      <alignment vertical="center"/>
    </xf>
    <xf numFmtId="0" fontId="14" fillId="11" borderId="2" xfId="64" applyFont="1" applyFill="1" applyBorder="1" applyAlignment="1">
      <alignment vertical="center"/>
    </xf>
    <xf numFmtId="0" fontId="15" fillId="12" borderId="0" xfId="64" applyFont="1" applyFill="1" applyAlignment="1">
      <alignment vertical="center"/>
    </xf>
    <xf numFmtId="0" fontId="16" fillId="13" borderId="3" xfId="64" applyFont="1" applyFill="1" applyBorder="1" applyAlignment="1">
      <alignment horizontal="left" vertical="center"/>
    </xf>
    <xf numFmtId="0" fontId="17" fillId="13" borderId="3" xfId="64" applyFont="1" applyFill="1" applyBorder="1" applyAlignment="1">
      <alignment horizontal="left" vertical="center" wrapText="1"/>
    </xf>
    <xf numFmtId="0" fontId="13" fillId="0" borderId="3" xfId="64" applyFont="1" applyBorder="1" applyAlignment="1">
      <alignment horizontal="left" vertical="center"/>
    </xf>
    <xf numFmtId="0" fontId="13" fillId="12" borderId="3" xfId="64" applyFont="1" applyFill="1" applyBorder="1" applyAlignment="1">
      <alignment horizontal="left" vertical="center"/>
    </xf>
    <xf numFmtId="0" fontId="13" fillId="12" borderId="3" xfId="64" applyFont="1" applyFill="1" applyBorder="1" applyAlignment="1">
      <alignment horizontal="left" vertical="center" wrapText="1"/>
    </xf>
    <xf numFmtId="0" fontId="13" fillId="0" borderId="3" xfId="64" applyFont="1" applyBorder="1" applyAlignment="1"/>
    <xf numFmtId="0" fontId="18" fillId="0" borderId="0" xfId="64" applyAlignment="1"/>
    <xf numFmtId="0" fontId="19" fillId="11" borderId="3" xfId="64" applyFont="1" applyFill="1" applyBorder="1" applyAlignment="1"/>
    <xf numFmtId="0" fontId="20" fillId="0" borderId="3" xfId="64" applyFont="1" applyBorder="1" applyAlignment="1">
      <alignment vertical="center"/>
    </xf>
    <xf numFmtId="0" fontId="18" fillId="0" borderId="3" xfId="64" applyBorder="1" applyAlignment="1">
      <alignment vertical="center"/>
    </xf>
    <xf numFmtId="0" fontId="17" fillId="0" borderId="3" xfId="64" applyFont="1" applyBorder="1" applyAlignment="1">
      <alignment horizontal="left" vertical="center"/>
    </xf>
    <xf numFmtId="0" fontId="17" fillId="0" borderId="3" xfId="64" applyFont="1" applyBorder="1" applyAlignment="1">
      <alignment horizontal="left" vertical="center" wrapText="1"/>
    </xf>
    <xf numFmtId="0" fontId="13" fillId="0" borderId="0" xfId="64" applyFont="1" applyAlignment="1">
      <alignment horizontal="left" vertical="center"/>
    </xf>
    <xf numFmtId="176" fontId="21" fillId="0" borderId="0" xfId="60" applyFont="1" applyFill="1" applyAlignment="1">
      <alignment horizontal="left"/>
    </xf>
    <xf numFmtId="176" fontId="10" fillId="12" borderId="0" xfId="60" applyFont="1" applyFill="1" applyAlignment="1">
      <alignment horizontal="left"/>
    </xf>
    <xf numFmtId="176" fontId="10" fillId="0" borderId="0" xfId="60" applyFont="1" applyFill="1" applyAlignment="1">
      <alignment horizontal="left"/>
    </xf>
    <xf numFmtId="176" fontId="22" fillId="0" borderId="0" xfId="60" applyFont="1" applyFill="1" applyBorder="1" applyAlignment="1">
      <alignment horizontal="left" vertical="center" wrapText="1"/>
    </xf>
    <xf numFmtId="176" fontId="10" fillId="0" borderId="0" xfId="60" applyFont="1" applyFill="1" applyBorder="1" applyAlignment="1">
      <alignment horizontal="left"/>
    </xf>
    <xf numFmtId="176" fontId="23" fillId="11" borderId="3" xfId="60" applyFont="1" applyFill="1" applyBorder="1" applyAlignment="1" applyProtection="1">
      <alignment horizontal="left" vertical="top" wrapText="1"/>
      <protection locked="0"/>
    </xf>
    <xf numFmtId="176" fontId="23" fillId="11" borderId="3" xfId="60" applyFont="1" applyFill="1" applyBorder="1" applyAlignment="1">
      <alignment horizontal="left" vertical="top" wrapText="1"/>
    </xf>
    <xf numFmtId="176" fontId="23" fillId="14" borderId="3" xfId="60" applyFont="1" applyFill="1" applyBorder="1" applyAlignment="1" applyProtection="1">
      <alignment horizontal="left" vertical="top" wrapText="1"/>
      <protection locked="0"/>
    </xf>
    <xf numFmtId="176" fontId="23" fillId="11" borderId="3" xfId="60" applyFont="1" applyFill="1" applyBorder="1" applyAlignment="1">
      <alignment horizontal="left" vertical="center" wrapText="1"/>
    </xf>
    <xf numFmtId="176" fontId="20" fillId="0" borderId="3" xfId="60" applyFont="1" applyFill="1" applyBorder="1" applyAlignment="1" applyProtection="1">
      <alignment horizontal="left" vertical="center" wrapText="1"/>
      <protection locked="0"/>
    </xf>
    <xf numFmtId="176" fontId="20" fillId="0" borderId="3" xfId="60" applyFont="1" applyFill="1" applyBorder="1" applyAlignment="1">
      <alignment horizontal="left" vertical="center" wrapText="1"/>
    </xf>
    <xf numFmtId="176" fontId="20" fillId="14" borderId="3" xfId="60" applyFont="1" applyFill="1" applyBorder="1" applyAlignment="1">
      <alignment horizontal="left"/>
    </xf>
    <xf numFmtId="176" fontId="20" fillId="0" borderId="3" xfId="60" applyNumberFormat="1" applyFont="1" applyFill="1" applyBorder="1" applyAlignment="1">
      <alignment horizontal="left" vertical="center" wrapText="1"/>
    </xf>
    <xf numFmtId="176" fontId="20" fillId="0" borderId="3" xfId="60" applyFont="1" applyFill="1" applyBorder="1" applyAlignment="1" applyProtection="1">
      <alignment horizontal="left" vertical="top" wrapText="1"/>
      <protection locked="0"/>
    </xf>
    <xf numFmtId="176" fontId="20" fillId="0" borderId="3" xfId="60" applyFont="1" applyFill="1" applyBorder="1" applyAlignment="1">
      <alignment horizontal="left" vertical="top" wrapText="1"/>
    </xf>
    <xf numFmtId="176" fontId="20" fillId="0" borderId="3" xfId="60" applyFont="1" applyFill="1" applyBorder="1" applyAlignment="1">
      <alignment horizontal="left" vertical="center"/>
    </xf>
    <xf numFmtId="176" fontId="23" fillId="11" borderId="3" xfId="60" applyFont="1" applyFill="1" applyBorder="1" applyAlignment="1" applyProtection="1">
      <alignment horizontal="left" vertical="center" wrapText="1"/>
      <protection locked="0"/>
    </xf>
    <xf numFmtId="176" fontId="23" fillId="11" borderId="3" xfId="73" applyFont="1" applyFill="1" applyBorder="1" applyAlignment="1">
      <alignment horizontal="left" vertical="center" wrapText="1"/>
    </xf>
    <xf numFmtId="0" fontId="24" fillId="0" borderId="0" xfId="0" applyFont="1" applyAlignment="1">
      <alignment horizontal="left" vertical="center"/>
    </xf>
    <xf numFmtId="0" fontId="20" fillId="0" borderId="0" xfId="0" applyFont="1" applyAlignment="1">
      <alignment horizontal="left" vertical="center"/>
    </xf>
    <xf numFmtId="0" fontId="25" fillId="0" borderId="0" xfId="0" applyFont="1" applyBorder="1" applyAlignment="1">
      <alignment horizontal="left" vertical="center" wrapText="1"/>
    </xf>
    <xf numFmtId="0" fontId="20" fillId="0" borderId="0" xfId="0" applyFont="1" applyBorder="1" applyAlignment="1">
      <alignment horizontal="left" vertical="center"/>
    </xf>
    <xf numFmtId="0" fontId="25" fillId="0" borderId="8" xfId="0" applyFont="1" applyBorder="1" applyAlignment="1">
      <alignment horizontal="left" vertical="center" wrapText="1"/>
    </xf>
    <xf numFmtId="0" fontId="19" fillId="11" borderId="3" xfId="0" applyFont="1" applyFill="1" applyBorder="1" applyAlignment="1">
      <alignment horizontal="left" vertical="center" wrapText="1"/>
    </xf>
    <xf numFmtId="0" fontId="19" fillId="11" borderId="3" xfId="0" applyNumberFormat="1" applyFont="1" applyFill="1" applyBorder="1" applyAlignment="1">
      <alignment horizontal="left" vertical="center" wrapText="1"/>
    </xf>
    <xf numFmtId="0" fontId="25" fillId="15" borderId="7" xfId="0" applyFont="1" applyFill="1" applyBorder="1" applyAlignment="1">
      <alignment horizontal="center" vertical="center" wrapText="1"/>
    </xf>
    <xf numFmtId="0" fontId="25" fillId="15" borderId="9" xfId="0" applyFont="1" applyFill="1" applyBorder="1" applyAlignment="1">
      <alignment horizontal="center" vertical="center" wrapText="1"/>
    </xf>
    <xf numFmtId="0" fontId="25" fillId="15" borderId="10" xfId="0" applyFont="1" applyFill="1" applyBorder="1" applyAlignment="1">
      <alignment horizontal="center" vertical="center" wrapText="1"/>
    </xf>
    <xf numFmtId="0" fontId="26" fillId="15" borderId="3" xfId="0" applyFont="1" applyFill="1" applyBorder="1" applyAlignment="1">
      <alignment horizontal="left" vertical="center"/>
    </xf>
    <xf numFmtId="49" fontId="26" fillId="15" borderId="3" xfId="0" applyNumberFormat="1" applyFont="1" applyFill="1" applyBorder="1" applyAlignment="1">
      <alignment horizontal="left" vertical="center"/>
    </xf>
    <xf numFmtId="0" fontId="26" fillId="15" borderId="3" xfId="0" applyNumberFormat="1" applyFont="1" applyFill="1" applyBorder="1" applyAlignment="1">
      <alignment horizontal="left" vertical="center"/>
    </xf>
    <xf numFmtId="0" fontId="26" fillId="15" borderId="3" xfId="50" applyNumberFormat="1" applyFont="1" applyFill="1" applyBorder="1" applyAlignment="1" applyProtection="1">
      <alignment horizontal="left" vertical="center"/>
      <protection locked="0"/>
    </xf>
    <xf numFmtId="0" fontId="26" fillId="15" borderId="3" xfId="50" applyNumberFormat="1" applyFont="1" applyFill="1" applyBorder="1" applyAlignment="1" applyProtection="1">
      <alignment horizontal="left" vertical="center" wrapText="1"/>
      <protection locked="0"/>
    </xf>
    <xf numFmtId="0" fontId="26" fillId="15" borderId="3" xfId="55" applyNumberFormat="1" applyFont="1" applyFill="1" applyBorder="1" applyAlignment="1" applyProtection="1">
      <alignment horizontal="left" vertical="center" wrapText="1"/>
      <protection locked="0"/>
    </xf>
    <xf numFmtId="0" fontId="26" fillId="15" borderId="3" xfId="49" applyNumberFormat="1" applyFont="1" applyFill="1" applyBorder="1" applyAlignment="1" applyProtection="1">
      <alignment horizontal="left" vertical="center"/>
    </xf>
    <xf numFmtId="0" fontId="20" fillId="0" borderId="3" xfId="0" applyFont="1" applyBorder="1" applyAlignment="1">
      <alignment horizontal="left" vertical="center"/>
    </xf>
    <xf numFmtId="49" fontId="20" fillId="0" borderId="3" xfId="0" applyNumberFormat="1" applyFont="1" applyBorder="1" applyAlignment="1">
      <alignment horizontal="left" vertical="center"/>
    </xf>
    <xf numFmtId="0" fontId="20" fillId="0" borderId="3" xfId="0" applyFont="1" applyBorder="1" applyAlignment="1">
      <alignment horizontal="left" vertical="center" wrapText="1"/>
    </xf>
    <xf numFmtId="49" fontId="26" fillId="0" borderId="3" xfId="0" applyNumberFormat="1" applyFont="1" applyFill="1" applyBorder="1" applyAlignment="1">
      <alignment horizontal="left" vertical="center"/>
    </xf>
    <xf numFmtId="0" fontId="20" fillId="0" borderId="3" xfId="0" applyNumberFormat="1" applyFont="1" applyBorder="1" applyAlignment="1">
      <alignment horizontal="left" vertical="center"/>
    </xf>
    <xf numFmtId="0" fontId="20" fillId="0" borderId="0" xfId="0" applyFont="1" applyAlignment="1">
      <alignment horizontal="center" vertical="center"/>
    </xf>
    <xf numFmtId="0" fontId="26" fillId="0" borderId="0" xfId="55" applyNumberFormat="1" applyFont="1" applyBorder="1" applyAlignment="1" applyProtection="1">
      <alignment horizontal="left" vertical="center" wrapText="1"/>
      <protection locked="0"/>
    </xf>
    <xf numFmtId="176" fontId="20" fillId="0" borderId="0" xfId="55" applyFont="1" applyAlignment="1">
      <alignment vertical="center"/>
    </xf>
    <xf numFmtId="176" fontId="20" fillId="0" borderId="0" xfId="55" applyFont="1" applyBorder="1" applyAlignment="1">
      <alignment vertical="center"/>
    </xf>
    <xf numFmtId="176" fontId="25" fillId="0" borderId="0" xfId="55" applyFont="1" applyBorder="1" applyAlignment="1">
      <alignment horizontal="left" vertical="center" wrapText="1"/>
    </xf>
    <xf numFmtId="176" fontId="19" fillId="11" borderId="3" xfId="55" applyFont="1" applyFill="1" applyBorder="1" applyAlignment="1">
      <alignment vertical="center" wrapText="1"/>
    </xf>
    <xf numFmtId="176" fontId="19" fillId="11" borderId="3" xfId="55" applyFont="1" applyFill="1" applyBorder="1" applyAlignment="1">
      <alignment horizontal="left" vertical="center" wrapText="1"/>
    </xf>
    <xf numFmtId="0" fontId="25" fillId="15" borderId="3" xfId="69" applyFont="1" applyFill="1" applyBorder="1" applyAlignment="1">
      <alignment horizontal="center" vertical="center" wrapText="1"/>
    </xf>
    <xf numFmtId="0" fontId="26" fillId="15" borderId="3" xfId="55" applyNumberFormat="1" applyFont="1" applyFill="1" applyBorder="1" applyAlignment="1">
      <alignment horizontal="center" vertical="center"/>
    </xf>
    <xf numFmtId="49" fontId="26" fillId="15" borderId="3" xfId="49" applyNumberFormat="1" applyFont="1" applyFill="1" applyBorder="1" applyAlignment="1" applyProtection="1">
      <alignment horizontal="center" vertical="center"/>
      <protection locked="0"/>
    </xf>
    <xf numFmtId="49" fontId="26" fillId="15" borderId="3" xfId="49" applyNumberFormat="1" applyFont="1" applyFill="1" applyBorder="1" applyAlignment="1" applyProtection="1">
      <alignment vertical="center" wrapText="1"/>
    </xf>
    <xf numFmtId="49" fontId="27" fillId="15" borderId="3" xfId="49" applyNumberFormat="1" applyFont="1" applyFill="1" applyBorder="1" applyAlignment="1" applyProtection="1">
      <alignment vertical="center" wrapText="1"/>
    </xf>
    <xf numFmtId="49" fontId="27" fillId="15" borderId="3" xfId="49" applyNumberFormat="1" applyFont="1" applyFill="1" applyBorder="1" applyAlignment="1" applyProtection="1">
      <alignment vertical="center"/>
      <protection locked="0"/>
    </xf>
    <xf numFmtId="49" fontId="26" fillId="16" borderId="3" xfId="49" applyNumberFormat="1" applyFont="1" applyFill="1" applyBorder="1" applyAlignment="1" applyProtection="1">
      <alignment vertical="center" wrapText="1"/>
    </xf>
    <xf numFmtId="49" fontId="27" fillId="16" borderId="3" xfId="49" applyNumberFormat="1" applyFont="1" applyFill="1" applyBorder="1" applyAlignment="1" applyProtection="1">
      <alignment vertical="center" wrapText="1"/>
    </xf>
    <xf numFmtId="176" fontId="20" fillId="16" borderId="3" xfId="55" applyFont="1" applyFill="1" applyBorder="1" applyAlignment="1">
      <alignment vertical="center"/>
    </xf>
    <xf numFmtId="49" fontId="26" fillId="16" borderId="3" xfId="49" applyNumberFormat="1" applyFont="1" applyFill="1" applyBorder="1" applyAlignment="1" applyProtection="1">
      <alignment horizontal="left" vertical="center" wrapText="1"/>
    </xf>
    <xf numFmtId="49" fontId="27" fillId="16" borderId="3" xfId="49" applyNumberFormat="1" applyFont="1" applyFill="1" applyBorder="1" applyAlignment="1" applyProtection="1">
      <alignment vertical="center"/>
    </xf>
    <xf numFmtId="49" fontId="27" fillId="16" borderId="3" xfId="49" applyNumberFormat="1" applyFont="1" applyFill="1" applyBorder="1" applyAlignment="1" applyProtection="1">
      <alignment vertical="center"/>
      <protection locked="0"/>
    </xf>
    <xf numFmtId="0" fontId="26" fillId="0" borderId="0" xfId="55" applyNumberFormat="1" applyFont="1" applyFill="1" applyBorder="1" applyAlignment="1">
      <alignment vertical="center"/>
    </xf>
    <xf numFmtId="0" fontId="26" fillId="0" borderId="0" xfId="55" applyNumberFormat="1" applyFont="1" applyFill="1" applyBorder="1" applyAlignment="1">
      <alignment vertical="center" wrapText="1"/>
    </xf>
    <xf numFmtId="49" fontId="26" fillId="0" borderId="0" xfId="49" applyNumberFormat="1" applyFont="1" applyFill="1" applyBorder="1" applyAlignment="1" applyProtection="1">
      <alignment vertical="center" wrapText="1"/>
      <protection locked="0"/>
    </xf>
    <xf numFmtId="49" fontId="26" fillId="0" borderId="0" xfId="49" applyNumberFormat="1" applyFont="1" applyFill="1" applyBorder="1" applyAlignment="1" applyProtection="1">
      <alignment vertical="center" wrapText="1"/>
    </xf>
    <xf numFmtId="49" fontId="27" fillId="0" borderId="0" xfId="49" applyNumberFormat="1" applyFont="1" applyFill="1" applyBorder="1" applyAlignment="1" applyProtection="1">
      <alignment vertical="center" wrapText="1"/>
    </xf>
    <xf numFmtId="49" fontId="27" fillId="0" borderId="0" xfId="49" applyNumberFormat="1" applyFont="1" applyFill="1" applyBorder="1" applyAlignment="1" applyProtection="1">
      <alignment vertical="center"/>
      <protection locked="0"/>
    </xf>
    <xf numFmtId="49" fontId="26" fillId="0" borderId="0" xfId="49" applyNumberFormat="1" applyFont="1" applyFill="1" applyBorder="1" applyAlignment="1" applyProtection="1">
      <alignment vertical="center"/>
      <protection locked="0"/>
    </xf>
    <xf numFmtId="49" fontId="27" fillId="0" borderId="0" xfId="49" applyNumberFormat="1" applyFont="1" applyFill="1" applyBorder="1" applyAlignment="1" applyProtection="1">
      <alignment vertical="center"/>
    </xf>
    <xf numFmtId="0" fontId="26" fillId="0" borderId="0" xfId="56" applyNumberFormat="1" applyFont="1" applyBorder="1" applyAlignment="1">
      <alignment vertical="center" wrapText="1"/>
    </xf>
    <xf numFmtId="49" fontId="26" fillId="0" borderId="0" xfId="49" applyNumberFormat="1" applyFont="1" applyBorder="1" applyAlignment="1" applyProtection="1">
      <alignment vertical="center"/>
      <protection locked="0"/>
    </xf>
    <xf numFmtId="49" fontId="28" fillId="0" borderId="0" xfId="49" applyNumberFormat="1" applyFont="1" applyBorder="1" applyAlignment="1">
      <alignment vertical="center" wrapText="1"/>
    </xf>
    <xf numFmtId="49" fontId="29" fillId="0" borderId="0" xfId="49" applyNumberFormat="1" applyFont="1" applyBorder="1" applyAlignment="1">
      <alignment vertical="center" wrapText="1"/>
    </xf>
    <xf numFmtId="0" fontId="30" fillId="0" borderId="0" xfId="0" applyFont="1" applyBorder="1" applyAlignment="1">
      <alignment horizontal="center" vertical="center" wrapText="1"/>
    </xf>
    <xf numFmtId="49" fontId="26" fillId="0" borderId="0" xfId="49" applyNumberFormat="1" applyFont="1" applyFill="1" applyBorder="1" applyAlignment="1">
      <alignment vertical="center" wrapText="1"/>
    </xf>
    <xf numFmtId="49" fontId="27" fillId="0" borderId="0" xfId="49" applyNumberFormat="1" applyFont="1" applyFill="1" applyBorder="1" applyAlignment="1">
      <alignment vertical="center" wrapText="1"/>
    </xf>
    <xf numFmtId="0" fontId="18" fillId="12" borderId="0" xfId="0" applyFont="1" applyFill="1" applyBorder="1" applyAlignment="1">
      <alignment horizontal="center" vertical="center" wrapText="1"/>
    </xf>
    <xf numFmtId="49" fontId="29" fillId="0" borderId="0" xfId="49" applyNumberFormat="1" applyFont="1" applyFill="1" applyBorder="1" applyAlignment="1">
      <alignment vertical="center" wrapText="1"/>
    </xf>
    <xf numFmtId="0" fontId="30" fillId="0" borderId="0" xfId="0" applyFont="1" applyFill="1" applyBorder="1" applyAlignment="1">
      <alignment horizontal="center" vertical="center" wrapText="1"/>
    </xf>
    <xf numFmtId="176" fontId="24" fillId="0" borderId="0" xfId="56" applyFont="1" applyBorder="1" applyAlignment="1">
      <alignment horizontal="left" vertical="center" wrapText="1"/>
    </xf>
    <xf numFmtId="176" fontId="24" fillId="0" borderId="0" xfId="56" applyFont="1" applyBorder="1" applyAlignment="1">
      <alignment vertical="center" wrapText="1"/>
    </xf>
    <xf numFmtId="176" fontId="28" fillId="0" borderId="0" xfId="56" applyFont="1" applyFill="1" applyBorder="1" applyAlignment="1">
      <alignment vertical="center" wrapText="1"/>
    </xf>
    <xf numFmtId="176" fontId="24" fillId="0" borderId="0" xfId="56" applyFont="1" applyFill="1" applyBorder="1" applyAlignment="1">
      <alignment vertical="center" wrapText="1"/>
    </xf>
    <xf numFmtId="0" fontId="24" fillId="0" borderId="0" xfId="56" applyNumberFormat="1" applyFont="1" applyFill="1" applyBorder="1" applyAlignment="1">
      <alignment vertical="center" wrapText="1"/>
    </xf>
    <xf numFmtId="0" fontId="24" fillId="0" borderId="0" xfId="56" applyNumberFormat="1" applyFont="1" applyFill="1" applyBorder="1" applyAlignment="1">
      <alignment horizontal="center" vertical="center" wrapText="1"/>
    </xf>
    <xf numFmtId="176" fontId="24" fillId="0" borderId="0" xfId="56" applyFont="1" applyFill="1" applyBorder="1" applyAlignment="1">
      <alignment horizontal="center" vertical="center" wrapText="1"/>
    </xf>
    <xf numFmtId="0" fontId="24" fillId="0" borderId="0" xfId="50" applyNumberFormat="1" applyFont="1" applyBorder="1" applyAlignment="1" applyProtection="1">
      <alignment horizontal="left" vertical="center" wrapText="1"/>
      <protection locked="0"/>
    </xf>
    <xf numFmtId="49" fontId="24" fillId="0" borderId="0" xfId="0" applyNumberFormat="1" applyFont="1" applyBorder="1" applyAlignment="1">
      <alignment horizontal="left" vertical="center"/>
    </xf>
    <xf numFmtId="0" fontId="24" fillId="0" borderId="0" xfId="56" applyNumberFormat="1" applyFont="1" applyBorder="1" applyAlignment="1">
      <alignment horizontal="center" vertical="center" wrapText="1"/>
    </xf>
    <xf numFmtId="176" fontId="24" fillId="0" borderId="0" xfId="56" applyFont="1" applyBorder="1" applyAlignment="1">
      <alignment horizontal="center" vertical="center" wrapText="1"/>
    </xf>
    <xf numFmtId="176" fontId="20" fillId="0" borderId="0" xfId="55" applyFont="1" applyBorder="1">
      <alignment vertical="center"/>
    </xf>
    <xf numFmtId="176" fontId="20" fillId="0" borderId="0" xfId="55" applyFont="1" applyFill="1" applyBorder="1">
      <alignment vertical="center"/>
    </xf>
    <xf numFmtId="49" fontId="20" fillId="0" borderId="0" xfId="55" applyNumberFormat="1" applyFont="1" applyFill="1" applyBorder="1" applyAlignment="1">
      <alignment horizontal="center" vertical="center"/>
    </xf>
    <xf numFmtId="49" fontId="30" fillId="0" borderId="0" xfId="0" applyNumberFormat="1" applyFont="1" applyFill="1" applyBorder="1" applyAlignment="1">
      <alignment horizontal="center" vertical="center" wrapText="1"/>
    </xf>
    <xf numFmtId="49" fontId="20" fillId="0" borderId="0" xfId="55" applyNumberFormat="1" applyFont="1" applyBorder="1" applyAlignment="1">
      <alignment horizontal="center" vertical="center"/>
    </xf>
    <xf numFmtId="176" fontId="20" fillId="0" borderId="0" xfId="55" applyFont="1" applyFill="1" applyBorder="1" applyAlignment="1">
      <alignment horizontal="center" vertical="center"/>
    </xf>
    <xf numFmtId="49" fontId="20" fillId="0" borderId="0" xfId="55" applyNumberFormat="1" applyFont="1" applyFill="1" applyBorder="1">
      <alignment vertical="center"/>
    </xf>
    <xf numFmtId="49" fontId="20" fillId="0" borderId="0" xfId="55" applyNumberFormat="1" applyFont="1" applyBorder="1">
      <alignment vertical="center"/>
    </xf>
    <xf numFmtId="49" fontId="20" fillId="0" borderId="0" xfId="55" applyNumberFormat="1" applyFont="1" applyBorder="1" applyAlignment="1">
      <alignment vertical="top" wrapText="1"/>
    </xf>
    <xf numFmtId="176" fontId="20" fillId="0" borderId="0" xfId="55" applyFont="1" applyFill="1" applyBorder="1" applyAlignment="1">
      <alignment vertical="center"/>
    </xf>
    <xf numFmtId="49" fontId="24" fillId="0" borderId="0" xfId="56" applyNumberFormat="1" applyFont="1" applyFill="1" applyBorder="1" applyAlignment="1">
      <alignment horizontal="center" vertical="center" wrapText="1"/>
    </xf>
    <xf numFmtId="176" fontId="31" fillId="0" borderId="0" xfId="56" applyFont="1" applyFill="1" applyBorder="1" applyAlignment="1">
      <alignment vertical="center" wrapText="1"/>
    </xf>
    <xf numFmtId="49" fontId="24" fillId="0" borderId="0" xfId="56" applyNumberFormat="1" applyFont="1" applyFill="1" applyBorder="1" applyAlignment="1">
      <alignment vertical="center" wrapText="1"/>
    </xf>
    <xf numFmtId="49" fontId="24" fillId="0" borderId="0" xfId="0" applyNumberFormat="1" applyFont="1" applyBorder="1" applyAlignment="1">
      <alignment horizontal="center" vertical="center"/>
    </xf>
    <xf numFmtId="176" fontId="31" fillId="0" borderId="0" xfId="56" applyFont="1" applyBorder="1" applyAlignment="1">
      <alignment vertical="center" wrapText="1"/>
    </xf>
    <xf numFmtId="49" fontId="24" fillId="0" borderId="0" xfId="56" applyNumberFormat="1" applyFont="1" applyBorder="1" applyAlignment="1">
      <alignment vertical="center" wrapText="1"/>
    </xf>
    <xf numFmtId="49" fontId="24" fillId="0" borderId="0" xfId="56" applyNumberFormat="1" applyFont="1" applyBorder="1" applyAlignment="1">
      <alignment horizontal="center" vertical="center" wrapText="1"/>
    </xf>
    <xf numFmtId="0" fontId="19" fillId="0" borderId="0" xfId="55" applyNumberFormat="1" applyFont="1" applyProtection="1">
      <alignment vertical="center"/>
      <protection locked="0"/>
    </xf>
    <xf numFmtId="0" fontId="19" fillId="0" borderId="0" xfId="55" applyNumberFormat="1" applyFont="1" applyAlignment="1" applyProtection="1">
      <alignment vertical="center"/>
      <protection locked="0"/>
    </xf>
    <xf numFmtId="0" fontId="32" fillId="0" borderId="0" xfId="55" applyNumberFormat="1" applyFont="1" applyFill="1" applyProtection="1">
      <alignment vertical="center"/>
      <protection locked="0"/>
    </xf>
    <xf numFmtId="0" fontId="20" fillId="0" borderId="0" xfId="55" applyNumberFormat="1" applyFont="1" applyProtection="1">
      <alignment vertical="center"/>
      <protection locked="0"/>
    </xf>
    <xf numFmtId="49" fontId="20" fillId="0" borderId="0" xfId="55" applyNumberFormat="1" applyFont="1" applyProtection="1">
      <alignment vertical="center"/>
      <protection locked="0"/>
    </xf>
    <xf numFmtId="0" fontId="33" fillId="0" borderId="0" xfId="55" applyNumberFormat="1" applyFont="1" applyBorder="1" applyAlignment="1" applyProtection="1">
      <alignment horizontal="left" vertical="top" wrapText="1"/>
      <protection locked="0"/>
    </xf>
    <xf numFmtId="49" fontId="33" fillId="0" borderId="0" xfId="55" applyNumberFormat="1" applyFont="1" applyBorder="1" applyAlignment="1" applyProtection="1">
      <alignment horizontal="left" vertical="top" wrapText="1"/>
      <protection locked="0"/>
    </xf>
    <xf numFmtId="0" fontId="33" fillId="0" borderId="0" xfId="55" applyNumberFormat="1" applyFont="1" applyAlignment="1" applyProtection="1">
      <alignment horizontal="left" vertical="center" wrapText="1"/>
      <protection locked="0"/>
    </xf>
    <xf numFmtId="0" fontId="10" fillId="0" borderId="0" xfId="55" applyNumberFormat="1" applyFont="1" applyProtection="1">
      <alignment vertical="center"/>
      <protection locked="0"/>
    </xf>
    <xf numFmtId="0" fontId="33" fillId="0" borderId="8" xfId="55" applyNumberFormat="1" applyFont="1" applyBorder="1" applyAlignment="1" applyProtection="1">
      <alignment horizontal="left" vertical="top" wrapText="1"/>
      <protection locked="0"/>
    </xf>
    <xf numFmtId="49" fontId="33" fillId="0" borderId="8" xfId="55" applyNumberFormat="1" applyFont="1" applyBorder="1" applyAlignment="1" applyProtection="1">
      <alignment horizontal="left" vertical="top" wrapText="1"/>
      <protection locked="0"/>
    </xf>
    <xf numFmtId="0" fontId="22" fillId="0" borderId="0" xfId="55" applyNumberFormat="1" applyFont="1" applyProtection="1">
      <alignment vertical="center"/>
      <protection locked="0"/>
    </xf>
    <xf numFmtId="0" fontId="33" fillId="0" borderId="0" xfId="55" applyNumberFormat="1" applyFont="1" applyProtection="1">
      <alignment vertical="center"/>
      <protection locked="0"/>
    </xf>
    <xf numFmtId="0" fontId="34" fillId="17" borderId="4" xfId="69" applyNumberFormat="1" applyFont="1" applyFill="1" applyBorder="1" applyAlignment="1">
      <alignment vertical="center" wrapText="1"/>
    </xf>
    <xf numFmtId="49" fontId="22" fillId="18" borderId="7" xfId="69" applyNumberFormat="1" applyFont="1" applyFill="1" applyBorder="1" applyAlignment="1">
      <alignment vertical="center" wrapText="1"/>
    </xf>
    <xf numFmtId="49" fontId="22" fillId="18" borderId="9" xfId="69" applyNumberFormat="1" applyFont="1" applyFill="1" applyBorder="1" applyAlignment="1">
      <alignment vertical="center" wrapText="1"/>
    </xf>
    <xf numFmtId="49" fontId="22" fillId="18" borderId="10" xfId="69" applyNumberFormat="1" applyFont="1" applyFill="1" applyBorder="1" applyAlignment="1">
      <alignment vertical="center" wrapText="1"/>
    </xf>
    <xf numFmtId="0" fontId="22" fillId="18" borderId="7" xfId="69" applyNumberFormat="1" applyFont="1" applyFill="1" applyBorder="1" applyAlignment="1">
      <alignment horizontal="left" vertical="center" wrapText="1"/>
    </xf>
    <xf numFmtId="0" fontId="22" fillId="18" borderId="10" xfId="69" applyNumberFormat="1" applyFont="1" applyFill="1" applyBorder="1" applyAlignment="1">
      <alignment horizontal="left" vertical="center" wrapText="1"/>
    </xf>
    <xf numFmtId="0" fontId="22" fillId="18" borderId="3" xfId="69" applyNumberFormat="1" applyFont="1" applyFill="1" applyBorder="1" applyAlignment="1">
      <alignment horizontal="left" vertical="center" wrapText="1"/>
    </xf>
    <xf numFmtId="0" fontId="8" fillId="19" borderId="3" xfId="69" applyNumberFormat="1" applyFont="1" applyFill="1" applyBorder="1" applyAlignment="1">
      <alignment horizontal="center" vertical="center" wrapText="1"/>
    </xf>
    <xf numFmtId="0" fontId="35" fillId="19" borderId="3" xfId="69" applyNumberFormat="1" applyFont="1" applyFill="1" applyBorder="1" applyAlignment="1">
      <alignment horizontal="center" vertical="center" wrapText="1"/>
    </xf>
    <xf numFmtId="0" fontId="22" fillId="18" borderId="4" xfId="69" applyNumberFormat="1" applyFont="1" applyFill="1" applyBorder="1" applyAlignment="1">
      <alignment vertical="center" wrapText="1"/>
    </xf>
    <xf numFmtId="0" fontId="22" fillId="18" borderId="11" xfId="69" applyNumberFormat="1" applyFont="1" applyFill="1" applyBorder="1" applyAlignment="1">
      <alignment vertical="center" wrapText="1"/>
    </xf>
    <xf numFmtId="0" fontId="22" fillId="5" borderId="3" xfId="69" applyNumberFormat="1" applyFont="1" applyFill="1" applyBorder="1" applyAlignment="1">
      <alignment vertical="center" wrapText="1"/>
    </xf>
    <xf numFmtId="0" fontId="34" fillId="17" borderId="12" xfId="69" applyNumberFormat="1" applyFont="1" applyFill="1" applyBorder="1" applyAlignment="1">
      <alignment vertical="center" wrapText="1"/>
    </xf>
    <xf numFmtId="0" fontId="34" fillId="17" borderId="5" xfId="69" applyNumberFormat="1" applyFont="1" applyFill="1" applyBorder="1" applyAlignment="1">
      <alignment vertical="center" wrapText="1"/>
    </xf>
    <xf numFmtId="49" fontId="22" fillId="18" borderId="4" xfId="69" applyNumberFormat="1" applyFont="1" applyFill="1" applyBorder="1" applyAlignment="1">
      <alignment vertical="center" wrapText="1"/>
    </xf>
    <xf numFmtId="0" fontId="36" fillId="19" borderId="4" xfId="69" applyNumberFormat="1" applyFont="1" applyFill="1" applyBorder="1" applyAlignment="1">
      <alignment horizontal="center" vertical="center" wrapText="1"/>
    </xf>
    <xf numFmtId="0" fontId="22" fillId="18" borderId="5" xfId="69" applyNumberFormat="1" applyFont="1" applyFill="1" applyBorder="1" applyAlignment="1">
      <alignment vertical="center" wrapText="1"/>
    </xf>
    <xf numFmtId="0" fontId="22" fillId="18" borderId="13" xfId="69" applyNumberFormat="1" applyFont="1" applyFill="1" applyBorder="1" applyAlignment="1">
      <alignment vertical="center" wrapText="1"/>
    </xf>
    <xf numFmtId="0" fontId="22" fillId="5" borderId="4" xfId="69" applyNumberFormat="1" applyFont="1" applyFill="1" applyBorder="1" applyAlignment="1">
      <alignment vertical="center" wrapText="1"/>
    </xf>
    <xf numFmtId="0" fontId="34" fillId="17" borderId="14" xfId="69" applyNumberFormat="1" applyFont="1" applyFill="1" applyBorder="1" applyAlignment="1">
      <alignment vertical="center" wrapText="1"/>
    </xf>
    <xf numFmtId="0" fontId="37" fillId="0" borderId="3" xfId="61" applyFont="1" applyBorder="1" applyAlignment="1">
      <alignment horizontal="left" vertical="center" wrapText="1"/>
    </xf>
    <xf numFmtId="0" fontId="38" fillId="0" borderId="3" xfId="0" applyFont="1" applyBorder="1" applyAlignment="1">
      <alignment horizontal="center" vertical="center" wrapText="1"/>
    </xf>
    <xf numFmtId="0" fontId="37" fillId="0" borderId="3" xfId="70" applyFont="1" applyBorder="1" applyAlignment="1">
      <alignment vertical="top" wrapText="1"/>
    </xf>
    <xf numFmtId="49" fontId="39" fillId="0" borderId="3" xfId="0" applyNumberFormat="1" applyFont="1" applyBorder="1" applyAlignment="1" applyProtection="1">
      <alignment horizontal="left" vertical="top" wrapText="1"/>
      <protection locked="0"/>
    </xf>
    <xf numFmtId="49" fontId="39" fillId="0" borderId="3" xfId="0" applyNumberFormat="1" applyFont="1" applyBorder="1" applyAlignment="1" applyProtection="1">
      <alignment horizontal="left" vertical="center" wrapText="1"/>
      <protection locked="0"/>
    </xf>
    <xf numFmtId="0" fontId="38" fillId="0" borderId="3" xfId="0" applyFont="1" applyBorder="1" applyAlignment="1">
      <alignment horizontal="left" vertical="center" wrapText="1"/>
    </xf>
    <xf numFmtId="0" fontId="39" fillId="9" borderId="3" xfId="61" applyFont="1" applyFill="1" applyBorder="1" applyAlignment="1">
      <alignment horizontal="left" vertical="center" wrapText="1"/>
    </xf>
    <xf numFmtId="0" fontId="20" fillId="0" borderId="3" xfId="55" applyNumberFormat="1" applyFont="1" applyBorder="1" applyProtection="1">
      <alignment vertical="center"/>
      <protection locked="0"/>
    </xf>
    <xf numFmtId="0" fontId="39" fillId="0" borderId="3" xfId="61" applyFont="1" applyBorder="1" applyAlignment="1" applyProtection="1">
      <alignment vertical="top" wrapText="1"/>
      <protection locked="0"/>
    </xf>
    <xf numFmtId="0" fontId="38" fillId="0" borderId="3" xfId="0" applyFont="1" applyBorder="1" applyAlignment="1">
      <alignment horizontal="left" vertical="top" wrapText="1"/>
    </xf>
    <xf numFmtId="0" fontId="40" fillId="9" borderId="3" xfId="61" applyFont="1" applyFill="1" applyBorder="1" applyAlignment="1">
      <alignment vertical="top" wrapText="1"/>
    </xf>
    <xf numFmtId="0" fontId="41" fillId="0" borderId="3" xfId="61" applyFont="1" applyBorder="1" applyAlignment="1">
      <alignment vertical="top" wrapText="1"/>
    </xf>
    <xf numFmtId="0" fontId="38" fillId="0" borderId="3" xfId="0" applyFont="1" applyBorder="1" applyAlignment="1" applyProtection="1">
      <alignment horizontal="left" vertical="top" wrapText="1"/>
      <protection locked="0"/>
    </xf>
    <xf numFmtId="49" fontId="42" fillId="0" borderId="3" xfId="0" applyNumberFormat="1" applyFont="1" applyBorder="1" applyAlignment="1">
      <alignment horizontal="left" vertical="top" wrapText="1"/>
    </xf>
    <xf numFmtId="0" fontId="38" fillId="0" borderId="3" xfId="56" applyNumberFormat="1" applyFont="1" applyBorder="1" applyAlignment="1" applyProtection="1">
      <alignment horizontal="center" vertical="center"/>
      <protection locked="0"/>
    </xf>
    <xf numFmtId="0" fontId="39" fillId="0" borderId="3" xfId="61" applyFont="1" applyBorder="1" applyAlignment="1">
      <alignment horizontal="left" vertical="center" wrapText="1"/>
    </xf>
    <xf numFmtId="0" fontId="37" fillId="0" borderId="3" xfId="61" applyFont="1" applyBorder="1" applyAlignment="1">
      <alignment vertical="top" wrapText="1"/>
    </xf>
    <xf numFmtId="0" fontId="43" fillId="0" borderId="3" xfId="61" applyFont="1" applyBorder="1" applyAlignment="1">
      <alignment vertical="top" wrapText="1"/>
    </xf>
    <xf numFmtId="49" fontId="42" fillId="0" borderId="3" xfId="0" applyNumberFormat="1" applyFont="1" applyBorder="1" applyAlignment="1">
      <alignment horizontal="left" vertical="center" wrapText="1"/>
    </xf>
    <xf numFmtId="0" fontId="38" fillId="0" borderId="3" xfId="56" applyNumberFormat="1" applyFont="1" applyBorder="1" applyProtection="1">
      <alignment vertical="center"/>
      <protection locked="0"/>
    </xf>
    <xf numFmtId="0" fontId="41" fillId="0" borderId="3" xfId="61" applyFont="1" applyBorder="1" applyAlignment="1">
      <alignment horizontal="left" vertical="center" wrapText="1"/>
    </xf>
    <xf numFmtId="0" fontId="44" fillId="0" borderId="3" xfId="56" applyNumberFormat="1" applyFont="1" applyBorder="1" applyAlignment="1" applyProtection="1">
      <alignment horizontal="center" vertical="center" wrapText="1"/>
      <protection locked="0"/>
    </xf>
    <xf numFmtId="0" fontId="45" fillId="0" borderId="3" xfId="61" applyFont="1" applyBorder="1" applyAlignment="1">
      <alignment vertical="top" wrapText="1"/>
    </xf>
    <xf numFmtId="0" fontId="46" fillId="0" borderId="3" xfId="61" applyFont="1" applyBorder="1" applyAlignment="1">
      <alignment horizontal="left" vertical="center" wrapText="1"/>
    </xf>
    <xf numFmtId="0" fontId="46" fillId="0" borderId="3" xfId="61" applyFont="1" applyFill="1" applyBorder="1" applyAlignment="1">
      <alignment horizontal="left" vertical="center" wrapText="1"/>
    </xf>
    <xf numFmtId="0" fontId="47" fillId="0" borderId="3" xfId="61" applyFont="1" applyFill="1" applyBorder="1" applyAlignment="1">
      <alignment horizontal="left" vertical="center" wrapText="1"/>
    </xf>
    <xf numFmtId="0" fontId="48" fillId="0" borderId="3" xfId="56" applyNumberFormat="1" applyFont="1" applyFill="1" applyBorder="1" applyAlignment="1" applyProtection="1">
      <alignment horizontal="center" vertical="center" wrapText="1"/>
      <protection locked="0"/>
    </xf>
    <xf numFmtId="0" fontId="32" fillId="0" borderId="3" xfId="56" applyNumberFormat="1" applyFont="1" applyFill="1" applyBorder="1" applyAlignment="1" applyProtection="1">
      <alignment horizontal="center" vertical="center"/>
      <protection locked="0"/>
    </xf>
    <xf numFmtId="49" fontId="49" fillId="0" borderId="3" xfId="0" applyNumberFormat="1" applyFont="1" applyFill="1" applyBorder="1" applyAlignment="1" applyProtection="1">
      <alignment horizontal="left" vertical="center" wrapText="1"/>
      <protection locked="0"/>
    </xf>
    <xf numFmtId="0" fontId="32" fillId="0" borderId="3" xfId="56" applyNumberFormat="1" applyFont="1" applyFill="1" applyBorder="1" applyProtection="1">
      <alignment vertical="center"/>
      <protection locked="0"/>
    </xf>
    <xf numFmtId="49" fontId="32" fillId="0" borderId="3" xfId="0" applyNumberFormat="1" applyFont="1" applyFill="1" applyBorder="1" applyAlignment="1">
      <alignment horizontal="center" vertical="center" wrapText="1"/>
    </xf>
    <xf numFmtId="49" fontId="50" fillId="0" borderId="3" xfId="0" applyNumberFormat="1" applyFont="1" applyFill="1" applyBorder="1" applyAlignment="1">
      <alignment horizontal="center" vertical="center" wrapText="1"/>
    </xf>
    <xf numFmtId="0" fontId="49" fillId="0" borderId="3" xfId="61" applyFont="1" applyFill="1" applyBorder="1" applyAlignment="1">
      <alignment horizontal="left" vertical="center" wrapText="1"/>
    </xf>
    <xf numFmtId="0" fontId="32" fillId="0" borderId="3" xfId="55" applyNumberFormat="1" applyFont="1" applyFill="1" applyBorder="1" applyProtection="1">
      <alignment vertical="center"/>
      <protection locked="0"/>
    </xf>
    <xf numFmtId="0" fontId="49" fillId="0" borderId="3" xfId="61" applyFont="1" applyFill="1" applyBorder="1" applyAlignment="1" applyProtection="1">
      <alignment vertical="top" wrapText="1"/>
      <protection locked="0"/>
    </xf>
    <xf numFmtId="0" fontId="32" fillId="0" borderId="3" xfId="0" applyFont="1" applyFill="1" applyBorder="1" applyAlignment="1">
      <alignment horizontal="left" vertical="top" wrapText="1"/>
    </xf>
    <xf numFmtId="0" fontId="46" fillId="0" borderId="3" xfId="61" applyFont="1" applyFill="1" applyBorder="1" applyAlignment="1">
      <alignment vertical="top" wrapText="1"/>
    </xf>
    <xf numFmtId="49" fontId="50" fillId="0" borderId="3" xfId="0" applyNumberFormat="1" applyFont="1" applyFill="1" applyBorder="1" applyAlignment="1">
      <alignment horizontal="left" vertical="center" wrapText="1"/>
    </xf>
    <xf numFmtId="0" fontId="32" fillId="0" borderId="3" xfId="0" applyFont="1" applyFill="1" applyBorder="1" applyAlignment="1" applyProtection="1">
      <alignment horizontal="left" vertical="top" wrapText="1"/>
      <protection locked="0"/>
    </xf>
    <xf numFmtId="0" fontId="20" fillId="9" borderId="3" xfId="55" applyNumberFormat="1" applyFont="1" applyFill="1" applyBorder="1" applyAlignment="1" applyProtection="1">
      <alignment horizontal="left" vertical="center"/>
      <protection locked="0"/>
    </xf>
    <xf numFmtId="0" fontId="41" fillId="9" borderId="3" xfId="61" applyFont="1" applyFill="1" applyBorder="1" applyAlignment="1">
      <alignment horizontal="left" vertical="center" wrapText="1"/>
    </xf>
    <xf numFmtId="0" fontId="38" fillId="9" borderId="3" xfId="56" applyNumberFormat="1" applyFont="1" applyFill="1" applyBorder="1" applyAlignment="1" applyProtection="1">
      <alignment horizontal="center" vertical="center"/>
      <protection locked="0"/>
    </xf>
    <xf numFmtId="49" fontId="51" fillId="9" borderId="3" xfId="56" applyNumberFormat="1" applyFont="1" applyFill="1" applyBorder="1" applyAlignment="1" applyProtection="1">
      <alignment horizontal="center" vertical="center" wrapText="1"/>
      <protection locked="0"/>
    </xf>
    <xf numFmtId="0" fontId="37" fillId="9" borderId="3" xfId="61" applyFont="1" applyFill="1" applyBorder="1" applyAlignment="1">
      <alignment horizontal="left" vertical="center" wrapText="1"/>
    </xf>
    <xf numFmtId="49" fontId="39" fillId="9" borderId="3" xfId="0" applyNumberFormat="1" applyFont="1" applyFill="1" applyBorder="1" applyAlignment="1" applyProtection="1">
      <alignment horizontal="left" vertical="center" wrapText="1"/>
      <protection locked="0"/>
    </xf>
    <xf numFmtId="0" fontId="52" fillId="9" borderId="3" xfId="61" applyFont="1" applyFill="1" applyBorder="1" applyAlignment="1">
      <alignment horizontal="left" vertical="center" wrapText="1"/>
    </xf>
    <xf numFmtId="0" fontId="38" fillId="9" borderId="3" xfId="0" applyFont="1" applyFill="1" applyBorder="1" applyAlignment="1">
      <alignment horizontal="center" vertical="center" wrapText="1"/>
    </xf>
    <xf numFmtId="0" fontId="52" fillId="9" borderId="3" xfId="61" applyFont="1" applyFill="1" applyBorder="1" applyAlignment="1" applyProtection="1">
      <alignment vertical="top" wrapText="1"/>
      <protection locked="0"/>
    </xf>
    <xf numFmtId="0" fontId="38" fillId="9" borderId="3" xfId="0" applyFont="1" applyFill="1" applyBorder="1" applyAlignment="1">
      <alignment horizontal="left" vertical="top" wrapText="1"/>
    </xf>
    <xf numFmtId="0" fontId="37" fillId="9" borderId="3" xfId="61" applyFont="1" applyFill="1" applyBorder="1" applyAlignment="1">
      <alignment vertical="top" wrapText="1"/>
    </xf>
    <xf numFmtId="0" fontId="41" fillId="9" borderId="3" xfId="61" applyFont="1" applyFill="1" applyBorder="1" applyAlignment="1">
      <alignment vertical="top" wrapText="1"/>
    </xf>
    <xf numFmtId="49" fontId="42" fillId="9" borderId="3" xfId="0" applyNumberFormat="1" applyFont="1" applyFill="1" applyBorder="1" applyAlignment="1">
      <alignment horizontal="left" vertical="center" wrapText="1"/>
    </xf>
    <xf numFmtId="0" fontId="38" fillId="9" borderId="3" xfId="0" applyFont="1" applyFill="1" applyBorder="1" applyAlignment="1" applyProtection="1">
      <alignment horizontal="left" vertical="top" wrapText="1"/>
      <protection locked="0"/>
    </xf>
    <xf numFmtId="0" fontId="38" fillId="9" borderId="3" xfId="56" applyNumberFormat="1" applyFont="1" applyFill="1" applyBorder="1" applyProtection="1">
      <alignment vertical="center"/>
      <protection locked="0"/>
    </xf>
    <xf numFmtId="0" fontId="20" fillId="9" borderId="10" xfId="55" applyNumberFormat="1" applyFont="1" applyFill="1" applyBorder="1" applyAlignment="1" applyProtection="1">
      <alignment horizontal="left" vertical="center"/>
      <protection locked="0"/>
    </xf>
    <xf numFmtId="0" fontId="20" fillId="9" borderId="3" xfId="55" applyNumberFormat="1" applyFont="1" applyFill="1" applyBorder="1" applyProtection="1">
      <alignment vertical="center"/>
      <protection locked="0"/>
    </xf>
    <xf numFmtId="0" fontId="39" fillId="9" borderId="3" xfId="61" applyFont="1" applyFill="1" applyBorder="1" applyAlignment="1" applyProtection="1">
      <alignment vertical="top" wrapText="1"/>
      <protection locked="0"/>
    </xf>
    <xf numFmtId="0" fontId="39" fillId="9" borderId="3" xfId="61" applyFont="1" applyFill="1" applyBorder="1" applyAlignment="1">
      <alignment vertical="top" wrapText="1"/>
    </xf>
    <xf numFmtId="0" fontId="18" fillId="9" borderId="3" xfId="61" applyFont="1" applyFill="1" applyBorder="1" applyAlignment="1">
      <alignment vertical="top" wrapText="1"/>
    </xf>
    <xf numFmtId="0" fontId="20" fillId="9" borderId="3" xfId="0" applyFont="1" applyFill="1" applyBorder="1" applyAlignment="1">
      <alignment horizontal="left" vertical="top" wrapText="1"/>
    </xf>
    <xf numFmtId="0" fontId="13" fillId="0" borderId="0" xfId="0" applyFont="1" applyAlignment="1">
      <alignment horizontal="left"/>
    </xf>
    <xf numFmtId="0" fontId="13" fillId="0" borderId="0" xfId="0" applyFont="1" applyAlignment="1">
      <alignment horizontal="left" vertical="center"/>
    </xf>
    <xf numFmtId="0" fontId="53" fillId="0" borderId="0" xfId="0" applyFont="1" applyBorder="1" applyAlignment="1">
      <alignment horizontal="left" vertical="center" wrapText="1"/>
    </xf>
    <xf numFmtId="0" fontId="53" fillId="0" borderId="8" xfId="0" applyFont="1" applyBorder="1" applyAlignment="1">
      <alignment horizontal="left" vertical="center" wrapText="1"/>
    </xf>
    <xf numFmtId="176" fontId="14" fillId="11" borderId="3" xfId="60" applyFont="1" applyFill="1" applyBorder="1" applyAlignment="1" applyProtection="1">
      <alignment horizontal="left" vertical="center" wrapText="1"/>
      <protection locked="0"/>
    </xf>
    <xf numFmtId="176" fontId="14" fillId="11" borderId="3" xfId="60" applyFont="1" applyFill="1" applyBorder="1" applyAlignment="1" applyProtection="1">
      <alignment horizontal="left" vertical="center"/>
      <protection locked="0"/>
    </xf>
    <xf numFmtId="0" fontId="14" fillId="11" borderId="3" xfId="54" applyFont="1" applyFill="1" applyBorder="1" applyAlignment="1" applyProtection="1">
      <alignment horizontal="left" vertical="center" wrapText="1"/>
    </xf>
    <xf numFmtId="0" fontId="14" fillId="11" borderId="3" xfId="54" applyFont="1" applyFill="1" applyBorder="1" applyAlignment="1" applyProtection="1">
      <alignment horizontal="left" vertical="center" wrapText="1"/>
      <protection locked="0"/>
    </xf>
    <xf numFmtId="0" fontId="13" fillId="10" borderId="3" xfId="0" applyFont="1" applyFill="1" applyBorder="1" applyAlignment="1">
      <alignment horizontal="left" vertical="center" wrapText="1"/>
    </xf>
    <xf numFmtId="0" fontId="54" fillId="10" borderId="3" xfId="0" applyFont="1" applyFill="1" applyBorder="1" applyAlignment="1">
      <alignment horizontal="left" vertical="center" wrapText="1"/>
    </xf>
    <xf numFmtId="0" fontId="13" fillId="20" borderId="3" xfId="0" applyFont="1" applyFill="1" applyBorder="1" applyAlignment="1">
      <alignment horizontal="left" vertical="center" wrapText="1"/>
    </xf>
    <xf numFmtId="0" fontId="13" fillId="21" borderId="3" xfId="0" applyFont="1" applyFill="1" applyBorder="1" applyAlignment="1">
      <alignment horizontal="left" vertical="center" wrapText="1"/>
    </xf>
    <xf numFmtId="0" fontId="13" fillId="0" borderId="3" xfId="0" applyFont="1" applyBorder="1" applyAlignment="1">
      <alignment horizontal="left"/>
    </xf>
    <xf numFmtId="0" fontId="13" fillId="0" borderId="3" xfId="0" applyFont="1" applyBorder="1" applyAlignment="1">
      <alignment horizontal="left" vertical="center"/>
    </xf>
    <xf numFmtId="0" fontId="13" fillId="10" borderId="3" xfId="0" applyFont="1" applyFill="1" applyBorder="1" applyAlignment="1">
      <alignment horizontal="left"/>
    </xf>
    <xf numFmtId="49" fontId="13" fillId="10" borderId="3" xfId="0" applyNumberFormat="1" applyFont="1" applyFill="1" applyBorder="1" applyAlignment="1">
      <alignment horizontal="left" vertical="center" wrapText="1"/>
    </xf>
    <xf numFmtId="176" fontId="13" fillId="10" borderId="3" xfId="56" applyFont="1" applyFill="1" applyBorder="1" applyAlignment="1">
      <alignment horizontal="left" vertical="center" wrapText="1"/>
    </xf>
    <xf numFmtId="0" fontId="13" fillId="6" borderId="3" xfId="0" applyFont="1" applyFill="1" applyBorder="1" applyAlignment="1">
      <alignment horizontal="left" vertical="center" wrapText="1"/>
    </xf>
    <xf numFmtId="49" fontId="13" fillId="0" borderId="3" xfId="0" applyNumberFormat="1" applyFont="1" applyFill="1" applyBorder="1" applyAlignment="1">
      <alignment horizontal="left" vertical="center" wrapText="1"/>
    </xf>
    <xf numFmtId="176" fontId="13" fillId="0" borderId="3" xfId="55" applyNumberFormat="1" applyFont="1" applyFill="1" applyBorder="1" applyAlignment="1" applyProtection="1">
      <alignment horizontal="left" vertical="center" wrapText="1"/>
    </xf>
    <xf numFmtId="0" fontId="13" fillId="0" borderId="3" xfId="0" applyFont="1" applyFill="1" applyBorder="1" applyAlignment="1">
      <alignment horizontal="left" vertical="center" wrapText="1"/>
    </xf>
    <xf numFmtId="0" fontId="55" fillId="0" borderId="0" xfId="0" applyFont="1" applyBorder="1" applyAlignment="1">
      <alignment horizontal="left" vertical="center" wrapText="1"/>
    </xf>
    <xf numFmtId="0" fontId="1" fillId="0" borderId="0" xfId="65" applyFont="1" applyFill="1" applyBorder="1" applyAlignment="1">
      <alignment vertical="center"/>
    </xf>
    <xf numFmtId="0" fontId="1" fillId="0" borderId="0" xfId="65" applyFont="1" applyFill="1" applyBorder="1" applyAlignment="1">
      <alignment horizontal="center" vertical="center"/>
    </xf>
    <xf numFmtId="0" fontId="1" fillId="0" borderId="0" xfId="65" applyFont="1" applyBorder="1" applyAlignment="1">
      <alignment horizontal="left" vertical="center"/>
    </xf>
    <xf numFmtId="0" fontId="1" fillId="0" borderId="0" xfId="65" applyFont="1" applyFill="1" applyBorder="1" applyAlignment="1">
      <alignment horizontal="center"/>
    </xf>
    <xf numFmtId="0" fontId="1" fillId="2" borderId="0" xfId="65" applyFont="1" applyFill="1" applyBorder="1"/>
    <xf numFmtId="0" fontId="1" fillId="2" borderId="0" xfId="65" applyFont="1" applyFill="1" applyBorder="1" applyAlignment="1">
      <alignment horizontal="left"/>
    </xf>
    <xf numFmtId="0" fontId="1" fillId="2" borderId="0" xfId="65" applyFont="1" applyFill="1" applyBorder="1" applyAlignment="1"/>
    <xf numFmtId="0" fontId="3" fillId="3" borderId="4" xfId="65" applyFont="1" applyFill="1" applyBorder="1" applyAlignment="1">
      <alignment horizontal="center" vertical="center"/>
    </xf>
    <xf numFmtId="0" fontId="3" fillId="3" borderId="3" xfId="65" applyFont="1" applyFill="1" applyBorder="1" applyAlignment="1">
      <alignment horizontal="left" vertical="center"/>
    </xf>
    <xf numFmtId="0" fontId="3" fillId="3" borderId="3" xfId="65" applyFont="1" applyFill="1" applyBorder="1" applyAlignment="1">
      <alignment horizontal="center"/>
    </xf>
    <xf numFmtId="0" fontId="1" fillId="3" borderId="3" xfId="65" applyFont="1" applyFill="1" applyBorder="1"/>
    <xf numFmtId="0" fontId="1" fillId="5" borderId="3" xfId="65" applyFont="1" applyFill="1" applyBorder="1"/>
    <xf numFmtId="49" fontId="1" fillId="0" borderId="4" xfId="65" applyNumberFormat="1" applyFont="1" applyFill="1" applyBorder="1" applyAlignment="1">
      <alignment horizontal="center" vertical="center"/>
    </xf>
    <xf numFmtId="49" fontId="1" fillId="0" borderId="10" xfId="65" applyNumberFormat="1" applyFont="1" applyFill="1" applyBorder="1" applyAlignment="1">
      <alignment horizontal="center" vertical="center" wrapText="1"/>
    </xf>
    <xf numFmtId="49" fontId="1" fillId="6" borderId="3" xfId="65" applyNumberFormat="1" applyFont="1" applyFill="1" applyBorder="1" applyAlignment="1">
      <alignment horizontal="left" vertical="center" wrapText="1"/>
    </xf>
    <xf numFmtId="0" fontId="1" fillId="0" borderId="3" xfId="65" applyFont="1" applyFill="1" applyBorder="1" applyAlignment="1">
      <alignment horizontal="left" vertical="center" wrapText="1"/>
    </xf>
    <xf numFmtId="0" fontId="1" fillId="6" borderId="3" xfId="65" applyFont="1" applyFill="1" applyBorder="1" applyAlignment="1">
      <alignment vertical="center" wrapText="1"/>
    </xf>
    <xf numFmtId="0" fontId="5" fillId="0" borderId="3" xfId="65" applyFont="1" applyFill="1" applyBorder="1"/>
    <xf numFmtId="0" fontId="1" fillId="0" borderId="3" xfId="65" applyFont="1" applyFill="1" applyBorder="1"/>
    <xf numFmtId="49" fontId="1" fillId="0" borderId="5" xfId="65" applyNumberFormat="1" applyFont="1" applyFill="1" applyBorder="1" applyAlignment="1">
      <alignment horizontal="center" vertical="center"/>
    </xf>
    <xf numFmtId="49" fontId="1" fillId="0" borderId="12" xfId="65" applyNumberFormat="1" applyFont="1" applyFill="1" applyBorder="1" applyAlignment="1">
      <alignment horizontal="center" vertical="center"/>
    </xf>
    <xf numFmtId="49" fontId="1" fillId="0" borderId="3" xfId="65" applyNumberFormat="1" applyFont="1" applyFill="1" applyBorder="1" applyAlignment="1">
      <alignment vertical="center"/>
    </xf>
    <xf numFmtId="49" fontId="1" fillId="6" borderId="4" xfId="65" applyNumberFormat="1" applyFont="1" applyFill="1" applyBorder="1" applyAlignment="1">
      <alignment horizontal="left" vertical="center" wrapText="1"/>
    </xf>
    <xf numFmtId="0" fontId="1" fillId="9" borderId="3" xfId="65" applyFont="1" applyFill="1" applyBorder="1" applyAlignment="1">
      <alignment horizontal="left" vertical="center" wrapText="1"/>
    </xf>
    <xf numFmtId="0" fontId="1" fillId="9" borderId="3" xfId="65" applyFont="1" applyFill="1" applyBorder="1" applyAlignment="1">
      <alignment horizontal="center" vertical="center"/>
    </xf>
    <xf numFmtId="0" fontId="1" fillId="9" borderId="3" xfId="65" applyFont="1" applyFill="1" applyBorder="1" applyAlignment="1">
      <alignment vertical="center" wrapText="1"/>
    </xf>
    <xf numFmtId="0" fontId="1" fillId="0" borderId="4" xfId="65" applyFont="1" applyFill="1" applyBorder="1" applyAlignment="1">
      <alignment horizontal="left" vertical="center"/>
    </xf>
    <xf numFmtId="0" fontId="5" fillId="0" borderId="3" xfId="65" applyFont="1" applyFill="1" applyBorder="1" applyAlignment="1">
      <alignment horizontal="left" vertical="center" wrapText="1"/>
    </xf>
    <xf numFmtId="49" fontId="1" fillId="0" borderId="13" xfId="65" applyNumberFormat="1" applyFont="1" applyFill="1" applyBorder="1" applyAlignment="1">
      <alignment horizontal="center" vertical="center"/>
    </xf>
    <xf numFmtId="49" fontId="1" fillId="0" borderId="11" xfId="65" applyNumberFormat="1" applyFont="1" applyFill="1" applyBorder="1" applyAlignment="1">
      <alignment vertical="center"/>
    </xf>
    <xf numFmtId="0" fontId="1" fillId="0" borderId="10" xfId="65" applyFont="1" applyFill="1" applyBorder="1" applyAlignment="1">
      <alignment horizontal="left" vertical="center" wrapText="1"/>
    </xf>
    <xf numFmtId="0" fontId="1" fillId="0" borderId="7" xfId="65" applyFont="1" applyFill="1" applyBorder="1" applyAlignment="1">
      <alignment vertical="center" wrapText="1"/>
    </xf>
    <xf numFmtId="49" fontId="1" fillId="0" borderId="13" xfId="65" applyNumberFormat="1" applyFont="1" applyFill="1" applyBorder="1" applyAlignment="1">
      <alignment vertical="center"/>
    </xf>
    <xf numFmtId="49" fontId="1" fillId="6" borderId="5" xfId="65" applyNumberFormat="1" applyFont="1" applyFill="1" applyBorder="1" applyAlignment="1">
      <alignment horizontal="left" vertical="center" wrapText="1"/>
    </xf>
    <xf numFmtId="0" fontId="1" fillId="0" borderId="5" xfId="65" applyFont="1" applyFill="1" applyBorder="1" applyAlignment="1">
      <alignment horizontal="left" vertical="center"/>
    </xf>
    <xf numFmtId="49" fontId="1" fillId="6" borderId="6" xfId="65" applyNumberFormat="1" applyFont="1" applyFill="1" applyBorder="1" applyAlignment="1">
      <alignment horizontal="left" vertical="center" wrapText="1"/>
    </xf>
    <xf numFmtId="0" fontId="1" fillId="0" borderId="6" xfId="65" applyFont="1" applyFill="1" applyBorder="1" applyAlignment="1">
      <alignment horizontal="left" vertical="center"/>
    </xf>
    <xf numFmtId="49" fontId="1" fillId="0" borderId="6" xfId="65" applyNumberFormat="1" applyFont="1" applyFill="1" applyBorder="1" applyAlignment="1">
      <alignment horizontal="center" vertical="center"/>
    </xf>
    <xf numFmtId="49" fontId="1" fillId="0" borderId="6" xfId="65" applyNumberFormat="1" applyFont="1" applyFill="1" applyBorder="1" applyAlignment="1">
      <alignment vertical="center"/>
    </xf>
    <xf numFmtId="49" fontId="1" fillId="0" borderId="15" xfId="65" applyNumberFormat="1" applyFont="1" applyFill="1" applyBorder="1" applyAlignment="1">
      <alignment horizontal="center" vertical="center"/>
    </xf>
    <xf numFmtId="49" fontId="1" fillId="0" borderId="10" xfId="65" applyNumberFormat="1" applyFont="1" applyFill="1" applyBorder="1" applyAlignment="1">
      <alignment horizontal="center" vertical="center"/>
    </xf>
    <xf numFmtId="0" fontId="1" fillId="0" borderId="3" xfId="65" applyFont="1" applyBorder="1" applyAlignment="1">
      <alignment horizontal="left" vertical="center"/>
    </xf>
    <xf numFmtId="0" fontId="20" fillId="0" borderId="0" xfId="60" applyNumberFormat="1" applyFont="1" applyAlignment="1" applyProtection="1">
      <alignment horizontal="left"/>
      <protection locked="0"/>
    </xf>
    <xf numFmtId="176" fontId="38" fillId="0" borderId="0" xfId="60" applyFont="1" applyAlignment="1" applyProtection="1">
      <alignment horizontal="left"/>
      <protection locked="0"/>
    </xf>
    <xf numFmtId="176" fontId="38" fillId="0" borderId="0" xfId="60" applyFont="1" applyFill="1" applyAlignment="1" applyProtection="1">
      <alignment horizontal="left"/>
      <protection locked="0"/>
    </xf>
    <xf numFmtId="176" fontId="20" fillId="0" borderId="0" xfId="60" applyFont="1" applyAlignment="1" applyProtection="1">
      <alignment horizontal="left"/>
      <protection locked="0"/>
    </xf>
    <xf numFmtId="176" fontId="20" fillId="0" borderId="0" xfId="60" applyFont="1" applyAlignment="1" applyProtection="1">
      <protection locked="0"/>
    </xf>
    <xf numFmtId="176" fontId="25" fillId="0" borderId="0" xfId="60" applyFont="1" applyBorder="1" applyAlignment="1" applyProtection="1">
      <alignment horizontal="left" vertical="center" wrapText="1"/>
      <protection locked="0"/>
    </xf>
    <xf numFmtId="176" fontId="56" fillId="0" borderId="0" xfId="60" applyFont="1" applyAlignment="1" applyProtection="1">
      <protection locked="0"/>
    </xf>
    <xf numFmtId="176" fontId="56" fillId="0" borderId="0" xfId="60" applyFont="1" applyAlignment="1" applyProtection="1">
      <alignment horizontal="left"/>
      <protection locked="0"/>
    </xf>
    <xf numFmtId="0" fontId="56" fillId="0" borderId="0" xfId="60" applyNumberFormat="1" applyFont="1" applyAlignment="1" applyProtection="1">
      <alignment horizontal="left"/>
      <protection locked="0"/>
    </xf>
    <xf numFmtId="0" fontId="19" fillId="11" borderId="16" xfId="50" applyNumberFormat="1" applyFont="1" applyFill="1" applyBorder="1" applyAlignment="1" applyProtection="1">
      <alignment horizontal="left" vertical="center" wrapText="1"/>
    </xf>
    <xf numFmtId="0" fontId="56" fillId="11" borderId="17" xfId="73" applyNumberFormat="1" applyFont="1" applyFill="1" applyBorder="1" applyAlignment="1" applyProtection="1">
      <alignment horizontal="left" vertical="center" wrapText="1"/>
    </xf>
    <xf numFmtId="0" fontId="19" fillId="11" borderId="17" xfId="50" applyNumberFormat="1" applyFont="1" applyFill="1" applyBorder="1" applyAlignment="1" applyProtection="1">
      <alignment horizontal="left" vertical="center" wrapText="1"/>
    </xf>
    <xf numFmtId="0" fontId="19" fillId="11" borderId="17" xfId="50" applyNumberFormat="1" applyFont="1" applyFill="1" applyBorder="1" applyAlignment="1" applyProtection="1">
      <alignment vertical="center" wrapText="1"/>
    </xf>
    <xf numFmtId="0" fontId="56" fillId="11" borderId="17" xfId="50" applyNumberFormat="1" applyFont="1" applyFill="1" applyBorder="1" applyAlignment="1" applyProtection="1">
      <alignment horizontal="left" vertical="center" wrapText="1"/>
    </xf>
    <xf numFmtId="0" fontId="56" fillId="11" borderId="17" xfId="60" applyNumberFormat="1" applyFont="1" applyFill="1" applyBorder="1" applyAlignment="1" applyProtection="1">
      <alignment horizontal="left" vertical="top" wrapText="1"/>
      <protection locked="0"/>
    </xf>
    <xf numFmtId="0" fontId="19" fillId="11" borderId="17" xfId="53" applyNumberFormat="1" applyFont="1" applyFill="1" applyBorder="1" applyAlignment="1" applyProtection="1">
      <alignment horizontal="left" vertical="center" wrapText="1"/>
    </xf>
    <xf numFmtId="0" fontId="56" fillId="11" borderId="17" xfId="53" applyNumberFormat="1" applyFont="1" applyFill="1" applyBorder="1" applyAlignment="1" applyProtection="1">
      <alignment horizontal="left" vertical="center" wrapText="1"/>
    </xf>
    <xf numFmtId="0" fontId="56" fillId="11" borderId="18" xfId="73" applyNumberFormat="1" applyFont="1" applyFill="1" applyBorder="1" applyAlignment="1" applyProtection="1">
      <alignment horizontal="left" vertical="center" wrapText="1"/>
    </xf>
    <xf numFmtId="0" fontId="19" fillId="11" borderId="19" xfId="50" applyNumberFormat="1" applyFont="1" applyFill="1" applyBorder="1" applyAlignment="1" applyProtection="1">
      <alignment horizontal="left" vertical="center" wrapText="1"/>
    </xf>
    <xf numFmtId="0" fontId="56" fillId="11" borderId="3" xfId="73" applyNumberFormat="1" applyFont="1" applyFill="1" applyBorder="1" applyAlignment="1" applyProtection="1">
      <alignment horizontal="left" vertical="center" wrapText="1"/>
    </xf>
    <xf numFmtId="0" fontId="19" fillId="11" borderId="3" xfId="50" applyNumberFormat="1" applyFont="1" applyFill="1" applyBorder="1" applyAlignment="1" applyProtection="1">
      <alignment horizontal="left" vertical="center" wrapText="1"/>
    </xf>
    <xf numFmtId="0" fontId="19" fillId="11" borderId="3" xfId="50" applyNumberFormat="1" applyFont="1" applyFill="1" applyBorder="1" applyAlignment="1" applyProtection="1">
      <alignment vertical="center" wrapText="1"/>
    </xf>
    <xf numFmtId="0" fontId="56" fillId="11" borderId="3" xfId="50" applyNumberFormat="1" applyFont="1" applyFill="1" applyBorder="1" applyAlignment="1" applyProtection="1">
      <alignment horizontal="left" vertical="center" wrapText="1"/>
    </xf>
    <xf numFmtId="0" fontId="56" fillId="11" borderId="3" xfId="55" applyNumberFormat="1" applyFont="1" applyFill="1" applyBorder="1" applyAlignment="1" applyProtection="1">
      <alignment horizontal="left" vertical="center" wrapText="1"/>
    </xf>
    <xf numFmtId="0" fontId="19" fillId="11" borderId="3" xfId="53" applyNumberFormat="1" applyFont="1" applyFill="1" applyBorder="1" applyAlignment="1" applyProtection="1">
      <alignment horizontal="left" vertical="center" wrapText="1"/>
    </xf>
    <xf numFmtId="0" fontId="56" fillId="11" borderId="3" xfId="53" applyNumberFormat="1" applyFont="1" applyFill="1" applyBorder="1" applyAlignment="1" applyProtection="1">
      <alignment horizontal="left" vertical="center" wrapText="1"/>
    </xf>
    <xf numFmtId="0" fontId="56" fillId="11" borderId="20" xfId="73" applyNumberFormat="1" applyFont="1" applyFill="1" applyBorder="1" applyAlignment="1" applyProtection="1">
      <alignment horizontal="left" vertical="center" wrapText="1"/>
    </xf>
    <xf numFmtId="0" fontId="56" fillId="11" borderId="3" xfId="54" applyNumberFormat="1" applyFont="1" applyFill="1" applyBorder="1" applyAlignment="1">
      <alignment horizontal="left" vertical="top" wrapText="1"/>
    </xf>
    <xf numFmtId="0" fontId="56" fillId="11" borderId="3" xfId="54" applyNumberFormat="1" applyFont="1" applyFill="1" applyBorder="1" applyAlignment="1">
      <alignment horizontal="left" vertical="center" wrapText="1"/>
    </xf>
    <xf numFmtId="0" fontId="20" fillId="10" borderId="19" xfId="60" applyNumberFormat="1" applyFont="1" applyFill="1" applyBorder="1" applyAlignment="1" applyProtection="1">
      <alignment horizontal="left" vertical="center"/>
      <protection locked="0"/>
    </xf>
    <xf numFmtId="0" fontId="38" fillId="10" borderId="3" xfId="60" applyNumberFormat="1" applyFont="1" applyFill="1" applyBorder="1" applyAlignment="1">
      <alignment horizontal="left" vertical="center" wrapText="1"/>
    </xf>
    <xf numFmtId="0" fontId="57" fillId="22" borderId="3" xfId="60" applyNumberFormat="1" applyFont="1" applyFill="1" applyBorder="1" applyAlignment="1">
      <alignment horizontal="center" vertical="center" wrapText="1"/>
    </xf>
    <xf numFmtId="0" fontId="38" fillId="10" borderId="3" xfId="60" applyNumberFormat="1" applyFont="1" applyFill="1" applyBorder="1" applyAlignment="1">
      <alignment horizontal="left" vertical="center"/>
    </xf>
    <xf numFmtId="0" fontId="38" fillId="10" borderId="3" xfId="49" applyNumberFormat="1" applyFont="1" applyFill="1" applyBorder="1" applyAlignment="1">
      <alignment horizontal="left" vertical="center"/>
    </xf>
    <xf numFmtId="0" fontId="38" fillId="23" borderId="3" xfId="60" applyNumberFormat="1" applyFont="1" applyFill="1" applyBorder="1" applyAlignment="1">
      <alignment horizontal="left" vertical="center" wrapText="1"/>
    </xf>
    <xf numFmtId="0" fontId="20" fillId="10" borderId="3" xfId="50" applyNumberFormat="1" applyFont="1" applyFill="1" applyBorder="1" applyAlignment="1" applyProtection="1">
      <alignment horizontal="left" vertical="center" wrapText="1"/>
      <protection locked="0"/>
    </xf>
    <xf numFmtId="0" fontId="57" fillId="10" borderId="3" xfId="60" applyNumberFormat="1" applyFont="1" applyFill="1" applyBorder="1" applyAlignment="1">
      <alignment horizontal="center" vertical="center" wrapText="1"/>
    </xf>
    <xf numFmtId="0" fontId="32" fillId="20" borderId="3" xfId="60" applyNumberFormat="1" applyFont="1" applyFill="1" applyBorder="1" applyAlignment="1">
      <alignment horizontal="center" vertical="center" wrapText="1"/>
    </xf>
    <xf numFmtId="0" fontId="58" fillId="9" borderId="3" xfId="60" applyNumberFormat="1" applyFont="1" applyFill="1" applyBorder="1" applyAlignment="1">
      <alignment horizontal="left" vertical="center" wrapText="1"/>
    </xf>
    <xf numFmtId="0" fontId="38" fillId="10" borderId="20" xfId="60" applyNumberFormat="1" applyFont="1" applyFill="1" applyBorder="1" applyAlignment="1" applyProtection="1">
      <alignment horizontal="left" vertical="center" wrapText="1"/>
      <protection locked="0"/>
    </xf>
    <xf numFmtId="0" fontId="20" fillId="10" borderId="21" xfId="60" applyNumberFormat="1" applyFont="1" applyFill="1" applyBorder="1" applyAlignment="1" applyProtection="1">
      <alignment horizontal="center" vertical="center"/>
      <protection locked="0"/>
    </xf>
    <xf numFmtId="0" fontId="38" fillId="10" borderId="4" xfId="60" applyNumberFormat="1" applyFont="1" applyFill="1" applyBorder="1" applyAlignment="1">
      <alignment horizontal="center" vertical="center" wrapText="1"/>
    </xf>
    <xf numFmtId="0" fontId="57" fillId="22" borderId="4" xfId="60" applyNumberFormat="1" applyFont="1" applyFill="1" applyBorder="1" applyAlignment="1">
      <alignment horizontal="center" vertical="center" wrapText="1"/>
    </xf>
    <xf numFmtId="0" fontId="38" fillId="10" borderId="4" xfId="60" applyNumberFormat="1" applyFont="1" applyFill="1" applyBorder="1" applyAlignment="1">
      <alignment horizontal="center" vertical="center"/>
    </xf>
    <xf numFmtId="0" fontId="38" fillId="10" borderId="4" xfId="49" applyNumberFormat="1" applyFont="1" applyFill="1" applyBorder="1" applyAlignment="1">
      <alignment horizontal="center" vertical="center"/>
    </xf>
    <xf numFmtId="0" fontId="20" fillId="10" borderId="4" xfId="50" applyNumberFormat="1" applyFont="1" applyFill="1" applyBorder="1" applyAlignment="1" applyProtection="1">
      <alignment horizontal="center" vertical="center" wrapText="1"/>
      <protection locked="0"/>
    </xf>
    <xf numFmtId="0" fontId="57" fillId="10" borderId="4" xfId="60" applyNumberFormat="1" applyFont="1" applyFill="1" applyBorder="1" applyAlignment="1">
      <alignment horizontal="center" vertical="center" wrapText="1"/>
    </xf>
    <xf numFmtId="0" fontId="32" fillId="20" borderId="4" xfId="60" applyNumberFormat="1" applyFont="1" applyFill="1" applyBorder="1" applyAlignment="1">
      <alignment horizontal="center" vertical="center" wrapText="1"/>
    </xf>
    <xf numFmtId="0" fontId="57" fillId="9" borderId="4" xfId="60" applyNumberFormat="1" applyFont="1" applyFill="1" applyBorder="1" applyAlignment="1">
      <alignment horizontal="center" vertical="center" wrapText="1"/>
    </xf>
    <xf numFmtId="0" fontId="58" fillId="10" borderId="4" xfId="60" applyNumberFormat="1" applyFont="1" applyFill="1" applyBorder="1" applyAlignment="1">
      <alignment horizontal="center" vertical="center" wrapText="1"/>
    </xf>
    <xf numFmtId="0" fontId="38" fillId="10" borderId="22" xfId="60" applyNumberFormat="1" applyFont="1" applyFill="1" applyBorder="1" applyAlignment="1" applyProtection="1">
      <alignment horizontal="center" vertical="center" wrapText="1"/>
      <protection locked="0"/>
    </xf>
    <xf numFmtId="0" fontId="20" fillId="10" borderId="23" xfId="60" applyNumberFormat="1" applyFont="1" applyFill="1" applyBorder="1" applyAlignment="1" applyProtection="1">
      <alignment horizontal="center" vertical="center"/>
      <protection locked="0"/>
    </xf>
    <xf numFmtId="0" fontId="38" fillId="10" borderId="5" xfId="60" applyNumberFormat="1" applyFont="1" applyFill="1" applyBorder="1" applyAlignment="1">
      <alignment horizontal="center" vertical="center" wrapText="1"/>
    </xf>
    <xf numFmtId="0" fontId="57" fillId="22" borderId="5" xfId="60" applyNumberFormat="1" applyFont="1" applyFill="1" applyBorder="1" applyAlignment="1">
      <alignment horizontal="center" vertical="center" wrapText="1"/>
    </xf>
    <xf numFmtId="0" fontId="38" fillId="10" borderId="5" xfId="60" applyNumberFormat="1" applyFont="1" applyFill="1" applyBorder="1" applyAlignment="1">
      <alignment horizontal="center" vertical="center"/>
    </xf>
    <xf numFmtId="58" fontId="38" fillId="10" borderId="3" xfId="60" applyNumberFormat="1" applyFont="1" applyFill="1" applyBorder="1" applyAlignment="1">
      <alignment horizontal="left" vertical="center" wrapText="1"/>
    </xf>
    <xf numFmtId="0" fontId="38" fillId="10" borderId="5" xfId="49" applyNumberFormat="1" applyFont="1" applyFill="1" applyBorder="1" applyAlignment="1">
      <alignment horizontal="center" vertical="center"/>
    </xf>
    <xf numFmtId="0" fontId="20" fillId="10" borderId="5" xfId="50" applyNumberFormat="1" applyFont="1" applyFill="1" applyBorder="1" applyAlignment="1" applyProtection="1">
      <alignment horizontal="center" vertical="center" wrapText="1"/>
      <protection locked="0"/>
    </xf>
    <xf numFmtId="0" fontId="57" fillId="10" borderId="5" xfId="60" applyNumberFormat="1" applyFont="1" applyFill="1" applyBorder="1" applyAlignment="1">
      <alignment horizontal="center" vertical="center" wrapText="1"/>
    </xf>
    <xf numFmtId="0" fontId="32" fillId="20" borderId="5" xfId="60" applyNumberFormat="1" applyFont="1" applyFill="1" applyBorder="1" applyAlignment="1">
      <alignment horizontal="center" vertical="center" wrapText="1"/>
    </xf>
    <xf numFmtId="0" fontId="57" fillId="9" borderId="5" xfId="60" applyNumberFormat="1" applyFont="1" applyFill="1" applyBorder="1" applyAlignment="1">
      <alignment horizontal="center" vertical="center" wrapText="1"/>
    </xf>
    <xf numFmtId="0" fontId="58" fillId="10" borderId="5" xfId="60" applyNumberFormat="1" applyFont="1" applyFill="1" applyBorder="1" applyAlignment="1">
      <alignment horizontal="center" vertical="center" wrapText="1"/>
    </xf>
    <xf numFmtId="0" fontId="38" fillId="10" borderId="24" xfId="60" applyNumberFormat="1" applyFont="1" applyFill="1" applyBorder="1" applyAlignment="1" applyProtection="1">
      <alignment horizontal="center" vertical="center" wrapText="1"/>
      <protection locked="0"/>
    </xf>
    <xf numFmtId="0" fontId="38" fillId="10" borderId="6" xfId="60" applyNumberFormat="1" applyFont="1" applyFill="1" applyBorder="1" applyAlignment="1">
      <alignment horizontal="center" vertical="center"/>
    </xf>
    <xf numFmtId="0" fontId="38" fillId="10" borderId="6" xfId="60" applyNumberFormat="1" applyFont="1" applyFill="1" applyBorder="1" applyAlignment="1">
      <alignment horizontal="center" vertical="center" wrapText="1"/>
    </xf>
    <xf numFmtId="0" fontId="38" fillId="10" borderId="6" xfId="49" applyNumberFormat="1" applyFont="1" applyFill="1" applyBorder="1" applyAlignment="1">
      <alignment horizontal="center" vertical="center"/>
    </xf>
    <xf numFmtId="0" fontId="20" fillId="10" borderId="6" xfId="50" applyNumberFormat="1" applyFont="1" applyFill="1" applyBorder="1" applyAlignment="1" applyProtection="1">
      <alignment horizontal="center" vertical="center" wrapText="1"/>
      <protection locked="0"/>
    </xf>
    <xf numFmtId="0" fontId="20" fillId="10" borderId="25" xfId="60" applyNumberFormat="1" applyFont="1" applyFill="1" applyBorder="1" applyAlignment="1" applyProtection="1">
      <alignment horizontal="center" vertical="center"/>
      <protection locked="0"/>
    </xf>
    <xf numFmtId="0" fontId="57" fillId="22" borderId="6" xfId="60" applyNumberFormat="1" applyFont="1" applyFill="1" applyBorder="1" applyAlignment="1">
      <alignment horizontal="center" vertical="center" wrapText="1"/>
    </xf>
    <xf numFmtId="0" fontId="57" fillId="10" borderId="6" xfId="60" applyNumberFormat="1" applyFont="1" applyFill="1" applyBorder="1" applyAlignment="1">
      <alignment horizontal="center" vertical="center" wrapText="1"/>
    </xf>
    <xf numFmtId="0" fontId="32" fillId="20" borderId="6" xfId="60" applyNumberFormat="1" applyFont="1" applyFill="1" applyBorder="1" applyAlignment="1">
      <alignment horizontal="center" vertical="center" wrapText="1"/>
    </xf>
    <xf numFmtId="0" fontId="57" fillId="9" borderId="6" xfId="60" applyNumberFormat="1" applyFont="1" applyFill="1" applyBorder="1" applyAlignment="1">
      <alignment horizontal="center" vertical="center" wrapText="1"/>
    </xf>
    <xf numFmtId="0" fontId="58" fillId="10" borderId="6" xfId="60" applyNumberFormat="1" applyFont="1" applyFill="1" applyBorder="1" applyAlignment="1">
      <alignment horizontal="center" vertical="center" wrapText="1"/>
    </xf>
    <xf numFmtId="0" fontId="38" fillId="10" borderId="26" xfId="60" applyNumberFormat="1" applyFont="1" applyFill="1" applyBorder="1" applyAlignment="1" applyProtection="1">
      <alignment horizontal="center" vertical="center" wrapText="1"/>
      <protection locked="0"/>
    </xf>
    <xf numFmtId="0" fontId="58" fillId="10" borderId="3" xfId="60" applyNumberFormat="1" applyFont="1" applyFill="1" applyBorder="1" applyAlignment="1">
      <alignment horizontal="center" vertical="center" wrapText="1"/>
    </xf>
    <xf numFmtId="0" fontId="38" fillId="10" borderId="3" xfId="60" applyNumberFormat="1" applyFont="1" applyFill="1" applyBorder="1" applyAlignment="1" applyProtection="1">
      <alignment horizontal="left" vertical="center" wrapText="1"/>
      <protection locked="0"/>
    </xf>
    <xf numFmtId="0" fontId="59" fillId="10" borderId="3" xfId="60" applyNumberFormat="1" applyFont="1" applyFill="1" applyBorder="1" applyAlignment="1">
      <alignment horizontal="center" vertical="center" wrapText="1"/>
    </xf>
    <xf numFmtId="0" fontId="58" fillId="20" borderId="3" xfId="60" applyNumberFormat="1" applyFont="1" applyFill="1" applyBorder="1" applyAlignment="1">
      <alignment horizontal="center" vertical="center" wrapText="1"/>
    </xf>
    <xf numFmtId="0" fontId="38" fillId="10" borderId="3" xfId="60" applyNumberFormat="1" applyFont="1" applyFill="1" applyBorder="1" applyAlignment="1" applyProtection="1">
      <alignment horizontal="left" vertical="center"/>
      <protection locked="0"/>
    </xf>
    <xf numFmtId="0" fontId="38" fillId="10" borderId="19" xfId="60" applyNumberFormat="1" applyFont="1" applyFill="1" applyBorder="1" applyAlignment="1" applyProtection="1">
      <alignment horizontal="left" vertical="center"/>
      <protection locked="0"/>
    </xf>
    <xf numFmtId="0" fontId="38" fillId="10" borderId="3" xfId="60" applyNumberFormat="1" applyFont="1" applyFill="1" applyBorder="1" applyAlignment="1" applyProtection="1">
      <alignment vertical="center" wrapText="1"/>
      <protection locked="0"/>
    </xf>
    <xf numFmtId="0" fontId="38" fillId="10" borderId="3" xfId="60" applyNumberFormat="1" applyFont="1" applyFill="1" applyBorder="1" applyAlignment="1">
      <alignment horizontal="center" vertical="center" wrapText="1"/>
    </xf>
    <xf numFmtId="0" fontId="38" fillId="10" borderId="3" xfId="49" applyNumberFormat="1" applyFont="1" applyFill="1" applyBorder="1" applyAlignment="1">
      <alignment horizontal="center" vertical="center"/>
    </xf>
    <xf numFmtId="0" fontId="20" fillId="10" borderId="3" xfId="50" applyNumberFormat="1" applyFont="1" applyFill="1" applyBorder="1" applyAlignment="1" applyProtection="1">
      <alignment horizontal="center" vertical="center" wrapText="1"/>
      <protection locked="0"/>
    </xf>
    <xf numFmtId="0" fontId="20" fillId="10" borderId="3" xfId="60" applyNumberFormat="1" applyFont="1" applyFill="1" applyBorder="1" applyAlignment="1" applyProtection="1">
      <alignment horizontal="left" vertical="center" wrapText="1"/>
      <protection locked="0"/>
    </xf>
    <xf numFmtId="0" fontId="24" fillId="20" borderId="3" xfId="60" applyNumberFormat="1" applyFont="1" applyFill="1" applyBorder="1" applyAlignment="1" applyProtection="1">
      <alignment horizontal="center" vertical="center" wrapText="1"/>
      <protection locked="0"/>
    </xf>
    <xf numFmtId="0" fontId="20" fillId="10" borderId="3" xfId="60" applyNumberFormat="1" applyFont="1" applyFill="1" applyBorder="1" applyAlignment="1" applyProtection="1">
      <alignment horizontal="left" vertical="center"/>
      <protection locked="0"/>
    </xf>
    <xf numFmtId="176" fontId="20" fillId="10" borderId="3" xfId="60" applyFont="1" applyFill="1" applyBorder="1" applyAlignment="1" applyProtection="1">
      <alignment horizontal="left" vertical="center"/>
      <protection locked="0"/>
    </xf>
    <xf numFmtId="0" fontId="20" fillId="10" borderId="3" xfId="60" applyNumberFormat="1" applyFont="1" applyFill="1" applyBorder="1" applyAlignment="1">
      <alignment horizontal="left" vertical="center" wrapText="1"/>
    </xf>
    <xf numFmtId="0" fontId="20" fillId="10" borderId="3" xfId="49" applyNumberFormat="1" applyFont="1" applyFill="1" applyBorder="1" applyAlignment="1">
      <alignment horizontal="left" vertical="center"/>
    </xf>
    <xf numFmtId="0" fontId="24" fillId="10" borderId="3" xfId="60" applyNumberFormat="1" applyFont="1" applyFill="1" applyBorder="1" applyAlignment="1">
      <alignment horizontal="center" vertical="center" wrapText="1"/>
    </xf>
    <xf numFmtId="0" fontId="60" fillId="20" borderId="3" xfId="60" applyNumberFormat="1" applyFont="1" applyFill="1" applyBorder="1" applyAlignment="1">
      <alignment horizontal="center" vertical="center" wrapText="1"/>
    </xf>
    <xf numFmtId="0" fontId="20" fillId="10" borderId="20" xfId="50" applyNumberFormat="1" applyFont="1" applyFill="1" applyBorder="1" applyAlignment="1" applyProtection="1">
      <alignment horizontal="left" vertical="center" wrapText="1"/>
      <protection locked="0"/>
    </xf>
    <xf numFmtId="0" fontId="38" fillId="0" borderId="19" xfId="60" applyNumberFormat="1" applyFont="1" applyFill="1" applyBorder="1" applyAlignment="1" applyProtection="1">
      <alignment horizontal="center" vertical="center"/>
      <protection locked="0"/>
    </xf>
    <xf numFmtId="0" fontId="38" fillId="0" borderId="3" xfId="60" applyNumberFormat="1" applyFont="1" applyFill="1" applyBorder="1" applyAlignment="1" applyProtection="1">
      <alignment horizontal="center" vertical="center" wrapText="1"/>
      <protection locked="0"/>
    </xf>
    <xf numFmtId="0" fontId="58" fillId="0" borderId="3" xfId="60" applyNumberFormat="1" applyFont="1" applyFill="1" applyBorder="1" applyAlignment="1" applyProtection="1">
      <alignment horizontal="center" vertical="center" wrapText="1"/>
      <protection locked="0"/>
    </xf>
    <xf numFmtId="0" fontId="38" fillId="0" borderId="3" xfId="60" applyNumberFormat="1" applyFont="1" applyFill="1" applyBorder="1" applyAlignment="1" applyProtection="1">
      <alignment horizontal="left" vertical="center"/>
      <protection locked="0"/>
    </xf>
    <xf numFmtId="176" fontId="38" fillId="0" borderId="3" xfId="60" applyFont="1" applyFill="1" applyBorder="1" applyAlignment="1" applyProtection="1">
      <alignment horizontal="left" vertical="center"/>
      <protection locked="0"/>
    </xf>
    <xf numFmtId="0" fontId="38" fillId="0" borderId="3" xfId="60" applyNumberFormat="1" applyFont="1" applyFill="1" applyBorder="1" applyAlignment="1">
      <alignment horizontal="left" vertical="center" wrapText="1"/>
    </xf>
    <xf numFmtId="0" fontId="38" fillId="0" borderId="3" xfId="49" applyNumberFormat="1" applyFont="1" applyFill="1" applyBorder="1" applyAlignment="1">
      <alignment horizontal="left" vertical="center"/>
    </xf>
    <xf numFmtId="0" fontId="58" fillId="0" borderId="3" xfId="60" applyNumberFormat="1" applyFont="1" applyFill="1" applyBorder="1" applyAlignment="1">
      <alignment horizontal="center" vertical="center" wrapText="1"/>
    </xf>
    <xf numFmtId="176" fontId="38" fillId="0" borderId="20" xfId="60" applyFont="1" applyFill="1" applyBorder="1" applyAlignment="1" applyProtection="1">
      <alignment horizontal="left"/>
      <protection locked="0"/>
    </xf>
    <xf numFmtId="0" fontId="38" fillId="0" borderId="27" xfId="60" applyNumberFormat="1" applyFont="1" applyFill="1" applyBorder="1" applyAlignment="1" applyProtection="1">
      <alignment horizontal="center" vertical="center"/>
      <protection locked="0"/>
    </xf>
    <xf numFmtId="0" fontId="38" fillId="0" borderId="28" xfId="60" applyNumberFormat="1" applyFont="1" applyFill="1" applyBorder="1" applyAlignment="1" applyProtection="1">
      <alignment horizontal="center" vertical="center" wrapText="1"/>
      <protection locked="0"/>
    </xf>
    <xf numFmtId="176" fontId="20" fillId="0" borderId="28" xfId="60" applyFont="1" applyBorder="1" applyAlignment="1" applyProtection="1">
      <alignment horizontal="left"/>
      <protection locked="0"/>
    </xf>
    <xf numFmtId="176" fontId="20" fillId="0" borderId="28" xfId="60" applyFont="1" applyBorder="1" applyAlignment="1" applyProtection="1">
      <protection locked="0"/>
    </xf>
    <xf numFmtId="0" fontId="20" fillId="0" borderId="28" xfId="60" applyNumberFormat="1" applyFont="1" applyBorder="1" applyAlignment="1" applyProtection="1">
      <alignment horizontal="left"/>
      <protection locked="0"/>
    </xf>
    <xf numFmtId="0" fontId="38" fillId="0" borderId="28" xfId="49" applyNumberFormat="1" applyFont="1" applyFill="1" applyBorder="1" applyAlignment="1">
      <alignment horizontal="left" vertical="center"/>
    </xf>
    <xf numFmtId="176" fontId="20" fillId="0" borderId="28" xfId="60" applyFont="1" applyBorder="1" applyAlignment="1" applyProtection="1">
      <alignment horizontal="left" vertical="center"/>
      <protection locked="0"/>
    </xf>
    <xf numFmtId="0" fontId="38" fillId="0" borderId="28" xfId="60" applyNumberFormat="1" applyFont="1" applyFill="1" applyBorder="1" applyAlignment="1">
      <alignment horizontal="left" vertical="center" wrapText="1"/>
    </xf>
    <xf numFmtId="0" fontId="20" fillId="10" borderId="28" xfId="60" applyNumberFormat="1" applyFont="1" applyFill="1" applyBorder="1" applyAlignment="1">
      <alignment horizontal="left" vertical="center" wrapText="1"/>
    </xf>
    <xf numFmtId="0" fontId="20" fillId="0" borderId="28" xfId="60" applyNumberFormat="1" applyFont="1" applyBorder="1" applyAlignment="1" applyProtection="1">
      <alignment horizontal="left" vertical="top" wrapText="1"/>
      <protection locked="0"/>
    </xf>
    <xf numFmtId="0" fontId="20" fillId="0" borderId="28" xfId="60" applyNumberFormat="1" applyFont="1" applyBorder="1" applyAlignment="1" applyProtection="1">
      <alignment horizontal="left" wrapText="1"/>
      <protection locked="0"/>
    </xf>
    <xf numFmtId="0" fontId="58" fillId="0" borderId="28" xfId="60" applyNumberFormat="1" applyFont="1" applyFill="1" applyBorder="1" applyAlignment="1">
      <alignment horizontal="center" vertical="center" wrapText="1"/>
    </xf>
    <xf numFmtId="0" fontId="26" fillId="0" borderId="29" xfId="50" applyNumberFormat="1" applyFont="1" applyFill="1" applyBorder="1" applyAlignment="1" applyProtection="1">
      <alignment horizontal="left" vertical="center" wrapText="1"/>
      <protection locked="0"/>
    </xf>
    <xf numFmtId="0" fontId="61" fillId="0" borderId="0" xfId="65" applyFont="1" applyBorder="1" applyAlignment="1">
      <alignment vertical="center"/>
    </xf>
    <xf numFmtId="0" fontId="18" fillId="0" borderId="0" xfId="65" applyFont="1" applyFill="1" applyBorder="1" applyAlignment="1">
      <alignment vertical="center"/>
    </xf>
    <xf numFmtId="49" fontId="18" fillId="0" borderId="0" xfId="65" applyNumberFormat="1" applyFont="1" applyBorder="1" applyAlignment="1">
      <alignment horizontal="center" vertical="center"/>
    </xf>
    <xf numFmtId="0" fontId="18" fillId="0" borderId="0" xfId="65" applyFont="1" applyBorder="1" applyAlignment="1">
      <alignment vertical="center"/>
    </xf>
    <xf numFmtId="0" fontId="18" fillId="0" borderId="0" xfId="65" applyFont="1" applyBorder="1" applyAlignment="1">
      <alignment horizontal="left" vertical="center"/>
    </xf>
    <xf numFmtId="0" fontId="18" fillId="0" borderId="0" xfId="65" applyFont="1" applyBorder="1" applyAlignment="1">
      <alignment horizontal="center" vertical="center"/>
    </xf>
    <xf numFmtId="49" fontId="3" fillId="2" borderId="1" xfId="65" applyNumberFormat="1" applyFont="1" applyFill="1" applyBorder="1" applyAlignment="1">
      <alignment horizontal="center" vertical="center"/>
    </xf>
    <xf numFmtId="49" fontId="3" fillId="3" borderId="1" xfId="65" applyNumberFormat="1" applyFont="1" applyFill="1" applyBorder="1" applyAlignment="1">
      <alignment horizontal="center" vertical="center"/>
    </xf>
    <xf numFmtId="0" fontId="3" fillId="3" borderId="1" xfId="65" applyFont="1" applyFill="1" applyBorder="1" applyAlignment="1">
      <alignment vertical="center"/>
    </xf>
    <xf numFmtId="0" fontId="3" fillId="3" borderId="2" xfId="65" applyFont="1" applyFill="1" applyBorder="1" applyAlignment="1">
      <alignment horizontal="left" vertical="center"/>
    </xf>
    <xf numFmtId="0" fontId="3" fillId="3" borderId="1" xfId="65" applyFont="1" applyFill="1" applyBorder="1" applyAlignment="1">
      <alignment horizontal="center" vertical="center"/>
    </xf>
    <xf numFmtId="0" fontId="1" fillId="3" borderId="1" xfId="65" applyFont="1" applyFill="1" applyBorder="1" applyAlignment="1">
      <alignment vertical="center"/>
    </xf>
    <xf numFmtId="49" fontId="1" fillId="0" borderId="1" xfId="65" applyNumberFormat="1" applyFont="1" applyFill="1" applyBorder="1" applyAlignment="1">
      <alignment horizontal="left" vertical="center"/>
    </xf>
    <xf numFmtId="0" fontId="3" fillId="0" borderId="1" xfId="65" applyFont="1" applyFill="1" applyBorder="1" applyAlignment="1">
      <alignment horizontal="left" vertical="center"/>
    </xf>
    <xf numFmtId="0" fontId="3" fillId="0" borderId="1" xfId="65" applyFont="1" applyFill="1" applyBorder="1" applyAlignment="1">
      <alignment horizontal="center" vertical="center"/>
    </xf>
    <xf numFmtId="0" fontId="1" fillId="0" borderId="1" xfId="65" applyFont="1" applyFill="1" applyBorder="1" applyAlignment="1">
      <alignment horizontal="center" vertical="center" wrapText="1"/>
    </xf>
    <xf numFmtId="0" fontId="1" fillId="0" borderId="1" xfId="65" applyFont="1" applyFill="1" applyBorder="1" applyAlignment="1">
      <alignment vertical="center" wrapText="1"/>
    </xf>
    <xf numFmtId="0" fontId="3" fillId="0" borderId="30" xfId="65" applyFont="1" applyFill="1" applyBorder="1" applyAlignment="1">
      <alignment horizontal="left" vertical="center" wrapText="1"/>
    </xf>
    <xf numFmtId="0" fontId="2" fillId="0" borderId="0" xfId="65" applyFont="1" applyFill="1" applyAlignment="1">
      <alignment vertical="center"/>
    </xf>
    <xf numFmtId="0" fontId="62" fillId="0" borderId="3" xfId="65" applyFont="1" applyFill="1" applyBorder="1" applyAlignment="1">
      <alignment horizontal="center" vertical="center"/>
    </xf>
    <xf numFmtId="0" fontId="1" fillId="0" borderId="3" xfId="65" applyNumberFormat="1" applyFont="1" applyFill="1" applyBorder="1" applyAlignment="1">
      <alignment horizontal="left" vertical="center" wrapText="1"/>
    </xf>
    <xf numFmtId="0" fontId="1" fillId="0" borderId="7" xfId="65" applyFont="1" applyFill="1" applyBorder="1" applyAlignment="1">
      <alignment horizontal="center" vertical="center"/>
    </xf>
    <xf numFmtId="0" fontId="5" fillId="0" borderId="3" xfId="65" applyFont="1" applyFill="1" applyBorder="1" applyAlignment="1">
      <alignment horizontal="left" vertical="center"/>
    </xf>
    <xf numFmtId="0" fontId="1" fillId="0" borderId="3" xfId="65" applyFont="1" applyFill="1" applyBorder="1" applyAlignment="1">
      <alignment horizontal="left" vertical="top"/>
    </xf>
    <xf numFmtId="0" fontId="62" fillId="0" borderId="4" xfId="65" applyFont="1" applyFill="1" applyBorder="1" applyAlignment="1">
      <alignment horizontal="center" vertical="center"/>
    </xf>
    <xf numFmtId="0" fontId="5" fillId="0" borderId="4" xfId="65" applyFont="1" applyFill="1" applyBorder="1" applyAlignment="1">
      <alignment horizontal="left" vertical="center"/>
    </xf>
    <xf numFmtId="0" fontId="5" fillId="0" borderId="3" xfId="65" applyFont="1" applyFill="1" applyBorder="1" applyAlignment="1">
      <alignment horizontal="left" vertical="top"/>
    </xf>
    <xf numFmtId="0" fontId="1" fillId="0" borderId="3" xfId="65" applyNumberFormat="1" applyFont="1" applyFill="1" applyBorder="1" applyAlignment="1">
      <alignment horizontal="left" vertical="center"/>
    </xf>
    <xf numFmtId="0" fontId="1" fillId="0" borderId="10" xfId="65" applyFont="1" applyFill="1" applyBorder="1" applyAlignment="1">
      <alignment horizontal="center" vertical="center"/>
    </xf>
    <xf numFmtId="0" fontId="1" fillId="0" borderId="3" xfId="74" applyNumberFormat="1" applyFont="1" applyFill="1" applyBorder="1" applyAlignment="1" applyProtection="1">
      <alignment horizontal="left" vertical="center"/>
    </xf>
    <xf numFmtId="0" fontId="1" fillId="0" borderId="7" xfId="65" applyFont="1" applyFill="1" applyBorder="1" applyAlignment="1">
      <alignment horizontal="left" vertical="center"/>
    </xf>
    <xf numFmtId="0" fontId="1" fillId="0" borderId="10" xfId="65" applyFont="1" applyFill="1" applyBorder="1" applyAlignment="1">
      <alignment horizontal="left" vertical="center"/>
    </xf>
    <xf numFmtId="0" fontId="1" fillId="0" borderId="3" xfId="68" applyNumberFormat="1" applyFont="1" applyFill="1" applyBorder="1" applyAlignment="1">
      <alignment horizontal="left" vertical="center"/>
    </xf>
    <xf numFmtId="0" fontId="5" fillId="0" borderId="10" xfId="65" applyFont="1" applyFill="1" applyBorder="1" applyAlignment="1">
      <alignment horizontal="left" vertical="center"/>
    </xf>
    <xf numFmtId="0" fontId="5" fillId="0" borderId="5" xfId="65" applyFont="1" applyFill="1" applyBorder="1" applyAlignment="1">
      <alignment horizontal="left" vertical="center"/>
    </xf>
    <xf numFmtId="0" fontId="1" fillId="0" borderId="11" xfId="65" applyFont="1" applyFill="1" applyBorder="1" applyAlignment="1">
      <alignment horizontal="center" vertical="center"/>
    </xf>
    <xf numFmtId="0" fontId="1" fillId="0" borderId="11" xfId="65" applyFont="1" applyFill="1" applyBorder="1" applyAlignment="1">
      <alignment horizontal="left" vertical="center"/>
    </xf>
    <xf numFmtId="0" fontId="1" fillId="0" borderId="10" xfId="65" applyNumberFormat="1" applyFont="1" applyFill="1" applyBorder="1" applyAlignment="1">
      <alignment horizontal="left" vertical="center" wrapText="1"/>
    </xf>
    <xf numFmtId="0" fontId="1" fillId="0" borderId="31" xfId="65" applyFont="1" applyFill="1" applyBorder="1" applyAlignment="1">
      <alignment horizontal="center" vertical="center"/>
    </xf>
    <xf numFmtId="0" fontId="1" fillId="0" borderId="10" xfId="65" applyNumberFormat="1" applyFont="1" applyFill="1" applyBorder="1" applyAlignment="1">
      <alignment horizontal="left" vertical="center"/>
    </xf>
    <xf numFmtId="0" fontId="1" fillId="10" borderId="4" xfId="65" applyFont="1" applyFill="1" applyBorder="1" applyAlignment="1">
      <alignment horizontal="center" vertical="center"/>
    </xf>
    <xf numFmtId="0" fontId="1" fillId="10" borderId="3" xfId="65" applyNumberFormat="1" applyFont="1" applyFill="1" applyBorder="1" applyAlignment="1">
      <alignment horizontal="left" vertical="center" wrapText="1"/>
    </xf>
    <xf numFmtId="0" fontId="1" fillId="10" borderId="7" xfId="65" applyFont="1" applyFill="1" applyBorder="1" applyAlignment="1">
      <alignment horizontal="center" vertical="center"/>
    </xf>
    <xf numFmtId="0" fontId="1" fillId="10" borderId="3" xfId="65" applyFont="1" applyFill="1" applyBorder="1" applyAlignment="1">
      <alignment horizontal="center" vertical="center"/>
    </xf>
    <xf numFmtId="0" fontId="1" fillId="10" borderId="3" xfId="65" applyFont="1" applyFill="1" applyBorder="1" applyAlignment="1">
      <alignment horizontal="left" vertical="center"/>
    </xf>
    <xf numFmtId="0" fontId="5" fillId="10" borderId="4" xfId="65" applyFont="1" applyFill="1" applyBorder="1" applyAlignment="1">
      <alignment horizontal="left" vertical="center"/>
    </xf>
    <xf numFmtId="0" fontId="5" fillId="10" borderId="3" xfId="65" applyFont="1" applyFill="1" applyBorder="1" applyAlignment="1">
      <alignment horizontal="left" vertical="top"/>
    </xf>
    <xf numFmtId="0" fontId="1" fillId="10" borderId="3" xfId="65" applyFont="1" applyFill="1" applyBorder="1" applyAlignment="1">
      <alignment horizontal="left" vertical="top"/>
    </xf>
    <xf numFmtId="0" fontId="38" fillId="0" borderId="0" xfId="60" applyNumberFormat="1" applyFont="1" applyFill="1" applyAlignment="1" applyProtection="1">
      <alignment horizontal="left" vertical="center"/>
      <protection locked="0"/>
    </xf>
    <xf numFmtId="0" fontId="38" fillId="0" borderId="0" xfId="60" applyNumberFormat="1" applyFont="1" applyFill="1" applyAlignment="1" applyProtection="1">
      <alignment horizontal="left"/>
      <protection locked="0"/>
    </xf>
    <xf numFmtId="176" fontId="20" fillId="0" borderId="0" xfId="60" applyNumberFormat="1" applyFont="1" applyAlignment="1" applyProtection="1">
      <alignment horizontal="left"/>
      <protection locked="0"/>
    </xf>
    <xf numFmtId="176" fontId="25" fillId="0" borderId="0" xfId="60" applyNumberFormat="1" applyFont="1" applyBorder="1" applyAlignment="1" applyProtection="1">
      <alignment horizontal="left" vertical="center" wrapText="1"/>
      <protection locked="0"/>
    </xf>
    <xf numFmtId="176" fontId="19" fillId="0" borderId="0" xfId="60" applyNumberFormat="1" applyFont="1" applyBorder="1" applyAlignment="1" applyProtection="1">
      <alignment vertical="center" wrapText="1"/>
      <protection locked="0"/>
    </xf>
    <xf numFmtId="176" fontId="19" fillId="0" borderId="0" xfId="60" applyNumberFormat="1" applyFont="1" applyBorder="1" applyAlignment="1" applyProtection="1">
      <alignment horizontal="left" vertical="center" wrapText="1"/>
      <protection locked="0"/>
    </xf>
    <xf numFmtId="176" fontId="25" fillId="0" borderId="8" xfId="60" applyNumberFormat="1" applyFont="1" applyBorder="1" applyAlignment="1" applyProtection="1">
      <alignment horizontal="left" vertical="center" wrapText="1"/>
      <protection locked="0"/>
    </xf>
    <xf numFmtId="176" fontId="19" fillId="11" borderId="3" xfId="50" applyNumberFormat="1" applyFont="1" applyFill="1" applyBorder="1" applyAlignment="1" applyProtection="1">
      <alignment horizontal="left" vertical="center" wrapText="1"/>
    </xf>
    <xf numFmtId="176" fontId="19" fillId="11" borderId="7" xfId="50" applyNumberFormat="1" applyFont="1" applyFill="1" applyBorder="1" applyAlignment="1" applyProtection="1">
      <alignment horizontal="left" vertical="center" wrapText="1"/>
    </xf>
    <xf numFmtId="176" fontId="19" fillId="11" borderId="9" xfId="50" applyNumberFormat="1" applyFont="1" applyFill="1" applyBorder="1" applyAlignment="1" applyProtection="1">
      <alignment horizontal="left" vertical="center" wrapText="1"/>
    </xf>
    <xf numFmtId="176" fontId="19" fillId="11" borderId="10" xfId="50" applyNumberFormat="1" applyFont="1" applyFill="1" applyBorder="1" applyAlignment="1" applyProtection="1">
      <alignment horizontal="left" vertical="center" wrapText="1"/>
    </xf>
    <xf numFmtId="0" fontId="56" fillId="11" borderId="7" xfId="53" applyNumberFormat="1" applyFont="1" applyFill="1" applyBorder="1" applyAlignment="1" applyProtection="1">
      <alignment horizontal="left" vertical="center" wrapText="1"/>
    </xf>
    <xf numFmtId="0" fontId="56" fillId="11" borderId="9" xfId="53" applyNumberFormat="1" applyFont="1" applyFill="1" applyBorder="1" applyAlignment="1" applyProtection="1">
      <alignment horizontal="left" vertical="center" wrapText="1"/>
    </xf>
    <xf numFmtId="0" fontId="56" fillId="11" borderId="10" xfId="53" applyNumberFormat="1" applyFont="1" applyFill="1" applyBorder="1" applyAlignment="1" applyProtection="1">
      <alignment horizontal="left" vertical="center" wrapText="1"/>
    </xf>
    <xf numFmtId="176" fontId="23" fillId="11" borderId="3" xfId="50" applyNumberFormat="1" applyFont="1" applyFill="1" applyBorder="1" applyAlignment="1" applyProtection="1">
      <alignment horizontal="left" vertical="center" wrapText="1"/>
    </xf>
    <xf numFmtId="0" fontId="19" fillId="11" borderId="3" xfId="55" applyNumberFormat="1" applyFont="1" applyFill="1" applyBorder="1" applyAlignment="1" applyProtection="1">
      <alignment horizontal="left" vertical="center" wrapText="1"/>
    </xf>
    <xf numFmtId="176" fontId="19" fillId="11" borderId="3" xfId="50" applyNumberFormat="1" applyFont="1" applyFill="1" applyBorder="1" applyAlignment="1" applyProtection="1">
      <alignment horizontal="left" vertical="center"/>
    </xf>
    <xf numFmtId="49" fontId="38" fillId="0" borderId="4" xfId="60" applyNumberFormat="1" applyFont="1" applyFill="1" applyBorder="1" applyAlignment="1" applyProtection="1">
      <alignment horizontal="left" vertical="center"/>
      <protection locked="0"/>
    </xf>
    <xf numFmtId="49" fontId="63" fillId="0" borderId="4" xfId="50" applyNumberFormat="1" applyFont="1" applyFill="1" applyBorder="1" applyAlignment="1" applyProtection="1">
      <alignment horizontal="left" vertical="center"/>
      <protection locked="0"/>
    </xf>
    <xf numFmtId="49" fontId="63" fillId="0" borderId="4" xfId="50" applyNumberFormat="1" applyFont="1" applyFill="1" applyBorder="1" applyAlignment="1" applyProtection="1">
      <alignment horizontal="left" vertical="center" wrapText="1"/>
      <protection locked="0"/>
    </xf>
    <xf numFmtId="49" fontId="63" fillId="0" borderId="3" xfId="49" applyNumberFormat="1" applyFont="1" applyFill="1" applyBorder="1" applyAlignment="1" applyProtection="1">
      <alignment horizontal="left" vertical="center"/>
      <protection locked="0"/>
    </xf>
    <xf numFmtId="49" fontId="63" fillId="0" borderId="3" xfId="50" applyNumberFormat="1" applyFont="1" applyFill="1" applyBorder="1" applyAlignment="1" applyProtection="1">
      <alignment horizontal="left" vertical="center"/>
      <protection locked="0"/>
    </xf>
    <xf numFmtId="49" fontId="63" fillId="0" borderId="3" xfId="50" applyNumberFormat="1" applyFont="1" applyFill="1" applyBorder="1" applyProtection="1">
      <alignment vertical="center"/>
      <protection locked="0"/>
    </xf>
    <xf numFmtId="0" fontId="63" fillId="0" borderId="3" xfId="50" applyNumberFormat="1" applyFont="1" applyFill="1" applyBorder="1" applyAlignment="1" applyProtection="1">
      <alignment horizontal="left" vertical="center"/>
      <protection locked="0"/>
    </xf>
    <xf numFmtId="49" fontId="64" fillId="0" borderId="3" xfId="50" applyNumberFormat="1" applyFont="1" applyFill="1" applyBorder="1" applyAlignment="1" applyProtection="1">
      <alignment horizontal="left" vertical="center" wrapText="1"/>
      <protection locked="0"/>
    </xf>
    <xf numFmtId="0" fontId="38" fillId="0" borderId="3" xfId="60" applyNumberFormat="1" applyFont="1" applyFill="1" applyBorder="1" applyAlignment="1">
      <alignment horizontal="left" vertical="center"/>
    </xf>
    <xf numFmtId="0" fontId="38" fillId="0" borderId="3" xfId="50" applyNumberFormat="1" applyFont="1" applyFill="1" applyBorder="1" applyAlignment="1" applyProtection="1">
      <alignment horizontal="left" vertical="center"/>
      <protection locked="0"/>
    </xf>
    <xf numFmtId="49" fontId="63" fillId="0" borderId="3" xfId="50" applyNumberFormat="1" applyFont="1" applyFill="1" applyBorder="1" applyAlignment="1" applyProtection="1">
      <alignment horizontal="left" vertical="center" wrapText="1"/>
      <protection locked="0"/>
    </xf>
    <xf numFmtId="49" fontId="38" fillId="0" borderId="5" xfId="60" applyNumberFormat="1" applyFont="1" applyFill="1" applyBorder="1" applyAlignment="1" applyProtection="1">
      <alignment horizontal="left" vertical="center"/>
      <protection locked="0"/>
    </xf>
    <xf numFmtId="49" fontId="63" fillId="0" borderId="5" xfId="50" applyNumberFormat="1" applyFont="1" applyFill="1" applyBorder="1" applyAlignment="1" applyProtection="1">
      <alignment horizontal="left" vertical="center"/>
      <protection locked="0"/>
    </xf>
    <xf numFmtId="49" fontId="63" fillId="0" borderId="5" xfId="50" applyNumberFormat="1" applyFont="1" applyFill="1" applyBorder="1" applyAlignment="1" applyProtection="1">
      <alignment horizontal="left" vertical="center" wrapText="1"/>
      <protection locked="0"/>
    </xf>
    <xf numFmtId="0" fontId="65" fillId="0" borderId="3" xfId="0" applyFont="1" applyFill="1" applyBorder="1" applyAlignment="1">
      <alignment horizontal="left" vertical="center" wrapText="1"/>
    </xf>
    <xf numFmtId="49" fontId="38" fillId="0" borderId="6" xfId="60" applyNumberFormat="1" applyFont="1" applyFill="1" applyBorder="1" applyAlignment="1" applyProtection="1">
      <alignment horizontal="left" vertical="center"/>
      <protection locked="0"/>
    </xf>
    <xf numFmtId="49" fontId="63" fillId="0" borderId="6" xfId="50" applyNumberFormat="1" applyFont="1" applyFill="1" applyBorder="1" applyAlignment="1" applyProtection="1">
      <alignment horizontal="left" vertical="center"/>
      <protection locked="0"/>
    </xf>
    <xf numFmtId="49" fontId="63" fillId="0" borderId="6" xfId="50" applyNumberFormat="1" applyFont="1" applyFill="1" applyBorder="1" applyAlignment="1" applyProtection="1">
      <alignment horizontal="left" vertical="center" wrapText="1"/>
      <protection locked="0"/>
    </xf>
    <xf numFmtId="0" fontId="38" fillId="0" borderId="3" xfId="60" applyNumberFormat="1" applyFont="1" applyFill="1" applyBorder="1" applyAlignment="1">
      <alignment vertical="center"/>
    </xf>
    <xf numFmtId="0" fontId="26" fillId="0" borderId="3" xfId="50" applyNumberFormat="1" applyFont="1" applyFill="1" applyBorder="1" applyAlignment="1" applyProtection="1">
      <alignment horizontal="left" vertical="center" wrapText="1"/>
    </xf>
    <xf numFmtId="0" fontId="26" fillId="0" borderId="3" xfId="50" applyNumberFormat="1" applyFont="1" applyFill="1" applyBorder="1" applyAlignment="1" applyProtection="1">
      <alignment horizontal="left" vertical="center"/>
      <protection locked="0"/>
    </xf>
    <xf numFmtId="0" fontId="26" fillId="0" borderId="3" xfId="60" applyNumberFormat="1" applyFont="1" applyBorder="1" applyAlignment="1" applyProtection="1">
      <alignment horizontal="left" vertical="center"/>
      <protection locked="0"/>
    </xf>
    <xf numFmtId="49" fontId="66" fillId="0" borderId="3" xfId="49" applyNumberFormat="1" applyFont="1" applyFill="1" applyBorder="1" applyAlignment="1" applyProtection="1">
      <alignment horizontal="left" vertical="center"/>
      <protection locked="0"/>
    </xf>
    <xf numFmtId="49" fontId="66" fillId="6" borderId="3" xfId="50" applyNumberFormat="1" applyFont="1" applyFill="1" applyBorder="1" applyAlignment="1" applyProtection="1">
      <alignment horizontal="left" vertical="center"/>
      <protection locked="0"/>
    </xf>
    <xf numFmtId="0" fontId="26" fillId="0" borderId="3" xfId="49" applyNumberFormat="1" applyFont="1" applyFill="1" applyBorder="1" applyAlignment="1" applyProtection="1">
      <alignment horizontal="left" vertical="center"/>
    </xf>
    <xf numFmtId="0" fontId="66" fillId="6" borderId="3" xfId="50" applyNumberFormat="1" applyFont="1" applyFill="1" applyBorder="1" applyAlignment="1" applyProtection="1">
      <alignment horizontal="left" vertical="center"/>
      <protection locked="0"/>
    </xf>
    <xf numFmtId="0" fontId="26" fillId="0" borderId="3" xfId="60" applyNumberFormat="1" applyFont="1" applyFill="1" applyBorder="1" applyAlignment="1" applyProtection="1">
      <alignment horizontal="left" vertical="center"/>
    </xf>
    <xf numFmtId="49" fontId="66" fillId="6" borderId="3" xfId="50" applyNumberFormat="1" applyFont="1" applyFill="1" applyBorder="1" applyAlignment="1" applyProtection="1">
      <alignment horizontal="left" vertical="center" wrapText="1"/>
      <protection locked="0"/>
    </xf>
    <xf numFmtId="0" fontId="20" fillId="0" borderId="3" xfId="60" applyNumberFormat="1" applyFont="1" applyBorder="1" applyAlignment="1" applyProtection="1">
      <alignment horizontal="left"/>
      <protection locked="0"/>
    </xf>
    <xf numFmtId="0" fontId="20" fillId="0" borderId="0" xfId="51" applyNumberFormat="1" applyFont="1" applyFill="1" applyAlignment="1" applyProtection="1">
      <alignment horizontal="left"/>
      <protection locked="0"/>
    </xf>
    <xf numFmtId="0" fontId="23" fillId="0" borderId="0" xfId="55" applyNumberFormat="1" applyFont="1" applyAlignment="1" applyProtection="1">
      <alignment horizontal="left" vertical="center"/>
      <protection locked="0"/>
    </xf>
    <xf numFmtId="0" fontId="23" fillId="0" borderId="0" xfId="55" applyNumberFormat="1" applyFont="1" applyAlignment="1" applyProtection="1">
      <alignment horizontal="left" vertical="top"/>
      <protection locked="0"/>
    </xf>
    <xf numFmtId="0" fontId="20" fillId="0" borderId="0" xfId="55" applyNumberFormat="1" applyFont="1" applyAlignment="1" applyProtection="1">
      <alignment horizontal="left" vertical="center" wrapText="1"/>
      <protection locked="0"/>
    </xf>
    <xf numFmtId="0" fontId="20" fillId="0" borderId="0" xfId="55" applyNumberFormat="1" applyFont="1" applyAlignment="1" applyProtection="1">
      <alignment horizontal="left"/>
      <protection locked="0"/>
    </xf>
    <xf numFmtId="0" fontId="25" fillId="0" borderId="0" xfId="55" applyNumberFormat="1" applyFont="1" applyBorder="1" applyAlignment="1" applyProtection="1">
      <alignment horizontal="left" vertical="center" wrapText="1"/>
      <protection locked="0"/>
    </xf>
    <xf numFmtId="0" fontId="19" fillId="0" borderId="0" xfId="51" applyNumberFormat="1" applyFont="1" applyFill="1" applyBorder="1" applyAlignment="1" applyProtection="1">
      <alignment horizontal="left"/>
      <protection locked="0"/>
    </xf>
    <xf numFmtId="0" fontId="25" fillId="0" borderId="8" xfId="55" applyNumberFormat="1" applyFont="1" applyBorder="1" applyAlignment="1" applyProtection="1">
      <alignment horizontal="left" vertical="center" wrapText="1"/>
      <protection locked="0"/>
    </xf>
    <xf numFmtId="0" fontId="19" fillId="11" borderId="3" xfId="73" applyNumberFormat="1" applyFont="1" applyFill="1" applyBorder="1" applyAlignment="1" applyProtection="1">
      <alignment horizontal="left" vertical="center" wrapText="1"/>
    </xf>
    <xf numFmtId="0" fontId="19" fillId="11" borderId="4" xfId="73" applyNumberFormat="1" applyFont="1" applyFill="1" applyBorder="1" applyAlignment="1" applyProtection="1">
      <alignment horizontal="left" vertical="center" wrapText="1"/>
    </xf>
    <xf numFmtId="0" fontId="19" fillId="11" borderId="4" xfId="55" applyNumberFormat="1" applyFont="1" applyFill="1" applyBorder="1" applyAlignment="1" applyProtection="1">
      <alignment horizontal="left" vertical="center" wrapText="1"/>
    </xf>
    <xf numFmtId="0" fontId="19" fillId="11" borderId="3" xfId="51" applyNumberFormat="1" applyFont="1" applyFill="1" applyBorder="1" applyAlignment="1" applyProtection="1">
      <alignment horizontal="left" vertical="center" wrapText="1"/>
      <protection locked="0"/>
    </xf>
    <xf numFmtId="0" fontId="19" fillId="11" borderId="3" xfId="51" applyNumberFormat="1" applyFont="1" applyFill="1" applyBorder="1" applyAlignment="1" applyProtection="1">
      <alignment horizontal="left" vertical="center"/>
      <protection locked="0"/>
    </xf>
    <xf numFmtId="0" fontId="19" fillId="11" borderId="5" xfId="73" applyNumberFormat="1" applyFont="1" applyFill="1" applyBorder="1" applyAlignment="1" applyProtection="1">
      <alignment horizontal="left" vertical="center" wrapText="1"/>
    </xf>
    <xf numFmtId="0" fontId="19" fillId="11" borderId="5" xfId="55" applyNumberFormat="1" applyFont="1" applyFill="1" applyBorder="1" applyAlignment="1" applyProtection="1">
      <alignment horizontal="left" vertical="center" wrapText="1"/>
    </xf>
    <xf numFmtId="0" fontId="19" fillId="11" borderId="6" xfId="73" applyNumberFormat="1" applyFont="1" applyFill="1" applyBorder="1" applyAlignment="1" applyProtection="1">
      <alignment horizontal="left" vertical="center" wrapText="1"/>
    </xf>
    <xf numFmtId="0" fontId="19" fillId="11" borderId="6" xfId="55" applyNumberFormat="1" applyFont="1" applyFill="1" applyBorder="1" applyAlignment="1" applyProtection="1">
      <alignment horizontal="left" vertical="center" wrapText="1"/>
    </xf>
    <xf numFmtId="0" fontId="67" fillId="15" borderId="3" xfId="55" applyNumberFormat="1" applyFont="1" applyFill="1" applyBorder="1" applyAlignment="1" applyProtection="1">
      <alignment horizontal="center" vertical="center" wrapText="1"/>
      <protection locked="0"/>
    </xf>
    <xf numFmtId="0" fontId="26" fillId="15" borderId="3" xfId="50" applyNumberFormat="1" applyFont="1" applyFill="1" applyBorder="1" applyAlignment="1" applyProtection="1">
      <alignment horizontal="center" vertical="center" wrapText="1"/>
    </xf>
    <xf numFmtId="0" fontId="26" fillId="15" borderId="4" xfId="50" applyNumberFormat="1" applyFont="1" applyFill="1" applyBorder="1" applyAlignment="1" applyProtection="1">
      <alignment horizontal="center" vertical="center" wrapText="1"/>
    </xf>
    <xf numFmtId="0" fontId="26" fillId="16" borderId="3" xfId="50" applyNumberFormat="1" applyFont="1" applyFill="1" applyBorder="1" applyAlignment="1" applyProtection="1">
      <alignment horizontal="left" vertical="center" wrapText="1"/>
      <protection locked="0"/>
    </xf>
    <xf numFmtId="0" fontId="26" fillId="15" borderId="3" xfId="50" applyNumberFormat="1" applyFont="1" applyFill="1" applyBorder="1" applyAlignment="1">
      <alignment horizontal="left" vertical="center" wrapText="1"/>
    </xf>
    <xf numFmtId="0" fontId="26" fillId="15" borderId="3" xfId="50" applyNumberFormat="1" applyFont="1" applyFill="1" applyBorder="1" applyAlignment="1">
      <alignment horizontal="center" vertical="center" wrapText="1"/>
    </xf>
    <xf numFmtId="0" fontId="26" fillId="15" borderId="3" xfId="55" applyNumberFormat="1" applyFont="1" applyFill="1" applyBorder="1" applyAlignment="1" applyProtection="1">
      <alignment horizontal="center" vertical="center"/>
      <protection locked="0"/>
    </xf>
    <xf numFmtId="0" fontId="68" fillId="15" borderId="4" xfId="50" applyNumberFormat="1" applyFont="1" applyFill="1" applyBorder="1" applyAlignment="1" applyProtection="1">
      <alignment horizontal="center" vertical="center" wrapText="1"/>
    </xf>
    <xf numFmtId="0" fontId="26" fillId="15" borderId="6" xfId="50" applyNumberFormat="1" applyFont="1" applyFill="1" applyBorder="1" applyAlignment="1" applyProtection="1">
      <alignment horizontal="center" vertical="center" wrapText="1"/>
    </xf>
    <xf numFmtId="0" fontId="68" fillId="15" borderId="6" xfId="50" applyNumberFormat="1" applyFont="1" applyFill="1" applyBorder="1" applyAlignment="1" applyProtection="1">
      <alignment horizontal="center" vertical="center" wrapText="1"/>
    </xf>
    <xf numFmtId="0" fontId="26" fillId="15" borderId="5" xfId="50" applyNumberFormat="1" applyFont="1" applyFill="1" applyBorder="1" applyAlignment="1" applyProtection="1">
      <alignment vertical="center" wrapText="1"/>
    </xf>
    <xf numFmtId="0" fontId="26" fillId="15" borderId="3" xfId="50" applyNumberFormat="1" applyFont="1" applyFill="1" applyBorder="1" applyAlignment="1" applyProtection="1">
      <alignment horizontal="left" vertical="center" wrapText="1"/>
    </xf>
    <xf numFmtId="0" fontId="26" fillId="15" borderId="6" xfId="50" applyNumberFormat="1" applyFont="1" applyFill="1" applyBorder="1" applyAlignment="1" applyProtection="1">
      <alignment vertical="center" wrapText="1"/>
    </xf>
    <xf numFmtId="0" fontId="20" fillId="0" borderId="3" xfId="50" applyNumberFormat="1" applyFont="1" applyFill="1" applyBorder="1" applyAlignment="1" applyProtection="1">
      <alignment horizontal="left" vertical="center" wrapText="1"/>
      <protection locked="0"/>
    </xf>
    <xf numFmtId="0" fontId="26" fillId="0" borderId="3" xfId="49" applyNumberFormat="1" applyFont="1" applyFill="1" applyBorder="1" applyAlignment="1" applyProtection="1">
      <alignment horizontal="left" vertical="center" wrapText="1"/>
    </xf>
    <xf numFmtId="0" fontId="26" fillId="0" borderId="3" xfId="50" applyNumberFormat="1" applyFont="1" applyFill="1" applyBorder="1" applyAlignment="1" applyProtection="1">
      <alignment horizontal="left" vertical="center" wrapText="1"/>
      <protection locked="0"/>
    </xf>
    <xf numFmtId="0" fontId="20" fillId="0" borderId="3" xfId="55" applyNumberFormat="1" applyFont="1" applyBorder="1" applyAlignment="1" applyProtection="1">
      <alignment horizontal="left"/>
      <protection locked="0"/>
    </xf>
    <xf numFmtId="0" fontId="38" fillId="0" borderId="3" xfId="55" applyNumberFormat="1" applyFont="1" applyBorder="1" applyAlignment="1" applyProtection="1">
      <alignment vertical="center"/>
      <protection locked="0"/>
    </xf>
    <xf numFmtId="0" fontId="20" fillId="0" borderId="0" xfId="56" applyNumberFormat="1" applyFont="1" applyAlignment="1" applyProtection="1">
      <alignment horizontal="left"/>
      <protection locked="0"/>
    </xf>
    <xf numFmtId="0" fontId="20" fillId="0" borderId="0" xfId="56" applyNumberFormat="1" applyFont="1" applyFill="1" applyAlignment="1" applyProtection="1">
      <alignment horizontal="left"/>
      <protection locked="0"/>
    </xf>
    <xf numFmtId="0" fontId="20" fillId="0" borderId="3" xfId="56" applyNumberFormat="1" applyFont="1" applyBorder="1" applyAlignment="1" applyProtection="1">
      <alignment horizontal="left"/>
      <protection locked="0"/>
    </xf>
    <xf numFmtId="0" fontId="25" fillId="0" borderId="0" xfId="51" applyNumberFormat="1" applyFont="1" applyFill="1" applyBorder="1" applyAlignment="1" applyProtection="1">
      <alignment horizontal="left" vertical="center" wrapText="1"/>
      <protection locked="0"/>
    </xf>
    <xf numFmtId="0" fontId="25" fillId="0" borderId="8" xfId="51" applyNumberFormat="1" applyFont="1" applyFill="1" applyBorder="1" applyAlignment="1" applyProtection="1">
      <alignment horizontal="left" vertical="center" wrapText="1"/>
      <protection locked="0"/>
    </xf>
    <xf numFmtId="49" fontId="69" fillId="0" borderId="3" xfId="56" applyNumberFormat="1" applyFont="1" applyBorder="1">
      <alignment vertical="center"/>
    </xf>
    <xf numFmtId="0" fontId="20" fillId="0" borderId="3" xfId="49" applyNumberFormat="1" applyFont="1" applyBorder="1" applyAlignment="1">
      <alignment horizontal="left" vertical="center"/>
    </xf>
    <xf numFmtId="0" fontId="20" fillId="0" borderId="3" xfId="49" applyNumberFormat="1" applyFont="1" applyBorder="1" applyAlignment="1">
      <alignment horizontal="left" vertical="center" wrapText="1"/>
    </xf>
    <xf numFmtId="0" fontId="24" fillId="0" borderId="3" xfId="49" applyNumberFormat="1" applyFont="1" applyBorder="1" applyAlignment="1">
      <alignment horizontal="left" vertical="center" wrapText="1"/>
    </xf>
    <xf numFmtId="0" fontId="24" fillId="0" borderId="3" xfId="49" applyNumberFormat="1" applyFont="1" applyBorder="1" applyAlignment="1">
      <alignment horizontal="left" vertical="center"/>
    </xf>
    <xf numFmtId="0" fontId="20" fillId="0" borderId="3" xfId="49" applyNumberFormat="1" applyFont="1" applyBorder="1" applyAlignment="1">
      <alignment horizontal="center" vertical="center"/>
    </xf>
    <xf numFmtId="0" fontId="70" fillId="0" borderId="3" xfId="73" applyNumberFormat="1" applyFont="1" applyBorder="1" applyAlignment="1">
      <alignment horizontal="left" vertical="center" wrapText="1"/>
    </xf>
    <xf numFmtId="0" fontId="20" fillId="0" borderId="3" xfId="73" applyNumberFormat="1" applyFont="1" applyBorder="1" applyAlignment="1">
      <alignment horizontal="left" vertical="center" wrapText="1"/>
    </xf>
    <xf numFmtId="0" fontId="24" fillId="0" borderId="3" xfId="50" applyNumberFormat="1" applyFont="1" applyBorder="1" applyAlignment="1" applyProtection="1">
      <alignment horizontal="left" vertical="center" wrapText="1"/>
      <protection locked="0"/>
    </xf>
    <xf numFmtId="0" fontId="20" fillId="0" borderId="4" xfId="50" applyNumberFormat="1" applyFont="1" applyBorder="1" applyAlignment="1" applyProtection="1">
      <alignment horizontal="left" vertical="center" wrapText="1"/>
      <protection locked="0"/>
    </xf>
    <xf numFmtId="0" fontId="20" fillId="0" borderId="3" xfId="50" applyNumberFormat="1" applyFont="1" applyBorder="1" applyAlignment="1" applyProtection="1">
      <alignment horizontal="left" vertical="center" wrapText="1"/>
      <protection locked="0"/>
    </xf>
    <xf numFmtId="49" fontId="69" fillId="0" borderId="3" xfId="56" applyNumberFormat="1" applyFont="1" applyFill="1" applyBorder="1">
      <alignment vertical="center"/>
    </xf>
    <xf numFmtId="0" fontId="20" fillId="0" borderId="3" xfId="49" applyNumberFormat="1" applyFont="1" applyFill="1" applyBorder="1" applyAlignment="1">
      <alignment horizontal="left" vertical="center"/>
    </xf>
    <xf numFmtId="0" fontId="20" fillId="0" borderId="3" xfId="49" applyNumberFormat="1" applyFont="1" applyFill="1" applyBorder="1" applyAlignment="1">
      <alignment horizontal="left" vertical="center" wrapText="1"/>
    </xf>
    <xf numFmtId="0" fontId="24" fillId="0" borderId="3" xfId="49" applyNumberFormat="1" applyFont="1" applyFill="1" applyBorder="1" applyAlignment="1">
      <alignment horizontal="left" vertical="center" wrapText="1"/>
    </xf>
    <xf numFmtId="0" fontId="24" fillId="0" borderId="3" xfId="49" applyNumberFormat="1" applyFont="1" applyFill="1" applyBorder="1" applyAlignment="1">
      <alignment horizontal="left" vertical="center"/>
    </xf>
    <xf numFmtId="0" fontId="20" fillId="0" borderId="3" xfId="49" applyNumberFormat="1" applyFont="1" applyFill="1" applyBorder="1" applyAlignment="1">
      <alignment horizontal="center" vertical="center"/>
    </xf>
    <xf numFmtId="0" fontId="20" fillId="0" borderId="3" xfId="73" applyNumberFormat="1" applyFont="1" applyFill="1" applyBorder="1" applyAlignment="1">
      <alignment horizontal="left" vertical="center" wrapText="1"/>
    </xf>
    <xf numFmtId="0" fontId="24" fillId="0" borderId="3" xfId="50" applyNumberFormat="1" applyFont="1" applyFill="1" applyBorder="1" applyAlignment="1" applyProtection="1">
      <alignment horizontal="left" vertical="center" wrapText="1"/>
      <protection locked="0"/>
    </xf>
    <xf numFmtId="0" fontId="20" fillId="0" borderId="4" xfId="50" applyNumberFormat="1" applyFont="1" applyFill="1" applyBorder="1" applyAlignment="1" applyProtection="1">
      <alignment horizontal="left" vertical="center" wrapText="1"/>
      <protection locked="0"/>
    </xf>
    <xf numFmtId="0" fontId="20" fillId="0" borderId="3" xfId="56" applyNumberFormat="1" applyFont="1" applyFill="1" applyBorder="1" applyAlignment="1" applyProtection="1">
      <alignment horizontal="left"/>
      <protection locked="0"/>
    </xf>
    <xf numFmtId="0" fontId="20" fillId="0" borderId="3" xfId="56" applyNumberFormat="1" applyFont="1" applyFill="1" applyBorder="1" applyAlignment="1" applyProtection="1">
      <alignment horizontal="center" vertical="center"/>
      <protection locked="0"/>
    </xf>
    <xf numFmtId="0" fontId="24" fillId="0" borderId="3" xfId="56" applyNumberFormat="1" applyFont="1" applyFill="1" applyBorder="1" applyAlignment="1">
      <alignment horizontal="left" vertical="center" wrapText="1"/>
    </xf>
    <xf numFmtId="0" fontId="20" fillId="0" borderId="3" xfId="49" applyNumberFormat="1" applyFont="1" applyFill="1" applyBorder="1" applyAlignment="1">
      <alignment horizontal="center" vertical="center" wrapText="1"/>
    </xf>
    <xf numFmtId="49" fontId="71" fillId="0" borderId="3" xfId="50" applyNumberFormat="1" applyFont="1" applyFill="1" applyBorder="1" applyAlignment="1" applyProtection="1">
      <alignment horizontal="center" vertical="center"/>
      <protection locked="0"/>
    </xf>
    <xf numFmtId="0" fontId="20" fillId="0" borderId="3" xfId="56" applyNumberFormat="1" applyFont="1" applyFill="1" applyBorder="1" applyAlignment="1" applyProtection="1">
      <alignment horizontal="left" vertical="center"/>
      <protection locked="0"/>
    </xf>
    <xf numFmtId="176" fontId="24" fillId="0" borderId="3" xfId="56" applyFont="1" applyFill="1" applyBorder="1" applyAlignment="1">
      <alignment vertical="center" wrapText="1"/>
    </xf>
    <xf numFmtId="0" fontId="24" fillId="0" borderId="3" xfId="56" applyNumberFormat="1" applyFont="1" applyFill="1" applyBorder="1" applyAlignment="1">
      <alignment horizontal="center" vertical="center" wrapText="1"/>
    </xf>
    <xf numFmtId="0" fontId="20" fillId="0" borderId="3" xfId="56" applyNumberFormat="1" applyFont="1" applyFill="1" applyBorder="1" applyAlignment="1" applyProtection="1">
      <alignment horizontal="left" vertical="center" wrapText="1"/>
      <protection locked="0"/>
    </xf>
    <xf numFmtId="49" fontId="24" fillId="0" borderId="3" xfId="69" applyNumberFormat="1" applyFont="1" applyFill="1" applyBorder="1" applyAlignment="1">
      <alignment horizontal="left" vertical="center" wrapText="1"/>
    </xf>
    <xf numFmtId="0" fontId="70" fillId="0" borderId="3" xfId="73" applyNumberFormat="1" applyFont="1" applyFill="1" applyBorder="1" applyAlignment="1">
      <alignment horizontal="left" vertical="center" wrapText="1"/>
    </xf>
    <xf numFmtId="176" fontId="24" fillId="0" borderId="3" xfId="56" applyFont="1" applyFill="1" applyBorder="1" applyAlignment="1">
      <alignment horizontal="center" vertical="center" wrapText="1"/>
    </xf>
    <xf numFmtId="0" fontId="20" fillId="0" borderId="0" xfId="56" applyNumberFormat="1" applyFont="1" applyFill="1" applyAlignment="1" applyProtection="1">
      <alignment horizontal="center" vertical="center"/>
      <protection locked="0"/>
    </xf>
    <xf numFmtId="0" fontId="20" fillId="0" borderId="3" xfId="56" applyNumberFormat="1" applyFont="1" applyFill="1" applyBorder="1" applyAlignment="1" applyProtection="1">
      <alignment horizontal="left" wrapText="1"/>
      <protection locked="0"/>
    </xf>
    <xf numFmtId="0" fontId="20" fillId="0" borderId="3" xfId="55" applyNumberFormat="1" applyFont="1" applyFill="1" applyBorder="1" applyAlignment="1" applyProtection="1">
      <alignment horizontal="center"/>
      <protection locked="0"/>
    </xf>
    <xf numFmtId="0" fontId="20" fillId="0" borderId="3" xfId="55" applyNumberFormat="1" applyFont="1" applyFill="1" applyBorder="1" applyAlignment="1" applyProtection="1">
      <alignment horizontal="left"/>
      <protection locked="0"/>
    </xf>
    <xf numFmtId="49" fontId="69" fillId="0" borderId="4" xfId="56" applyNumberFormat="1" applyFont="1" applyFill="1" applyBorder="1" applyAlignment="1">
      <alignment horizontal="center" vertical="center"/>
    </xf>
    <xf numFmtId="0" fontId="24" fillId="0" borderId="4" xfId="56" applyNumberFormat="1" applyFont="1" applyFill="1" applyBorder="1" applyAlignment="1">
      <alignment horizontal="left" vertical="center" wrapText="1"/>
    </xf>
    <xf numFmtId="0" fontId="20" fillId="0" borderId="4" xfId="56" applyNumberFormat="1" applyFont="1" applyFill="1" applyBorder="1" applyAlignment="1" applyProtection="1">
      <alignment horizontal="center" vertical="center"/>
      <protection locked="0"/>
    </xf>
    <xf numFmtId="0" fontId="24" fillId="0" borderId="4" xfId="49" applyNumberFormat="1" applyFont="1" applyFill="1" applyBorder="1" applyAlignment="1">
      <alignment horizontal="center" vertical="center"/>
    </xf>
    <xf numFmtId="49" fontId="24" fillId="0" borderId="3" xfId="0" applyNumberFormat="1" applyFont="1" applyFill="1" applyBorder="1" applyAlignment="1">
      <alignment horizontal="left" vertical="center" wrapText="1"/>
    </xf>
    <xf numFmtId="0" fontId="20" fillId="0" borderId="0" xfId="56" applyNumberFormat="1" applyFont="1" applyBorder="1" applyAlignment="1" applyProtection="1">
      <alignment horizontal="left"/>
      <protection locked="0"/>
    </xf>
    <xf numFmtId="49" fontId="69" fillId="0" borderId="5" xfId="56" applyNumberFormat="1" applyFont="1" applyFill="1" applyBorder="1" applyAlignment="1">
      <alignment horizontal="center" vertical="center"/>
    </xf>
    <xf numFmtId="0" fontId="24" fillId="0" borderId="5" xfId="56" applyNumberFormat="1" applyFont="1" applyFill="1" applyBorder="1" applyAlignment="1">
      <alignment horizontal="left" vertical="center" wrapText="1"/>
    </xf>
    <xf numFmtId="0" fontId="20" fillId="0" borderId="5" xfId="56" applyNumberFormat="1" applyFont="1" applyFill="1" applyBorder="1" applyAlignment="1" applyProtection="1">
      <alignment horizontal="center" vertical="center"/>
      <protection locked="0"/>
    </xf>
    <xf numFmtId="0" fontId="24" fillId="0" borderId="5" xfId="49" applyNumberFormat="1" applyFont="1" applyFill="1" applyBorder="1" applyAlignment="1">
      <alignment horizontal="center" vertical="center"/>
    </xf>
    <xf numFmtId="49" fontId="24" fillId="0" borderId="6" xfId="56" applyNumberFormat="1" applyFont="1" applyFill="1" applyBorder="1" applyAlignment="1">
      <alignment horizontal="center" vertical="center" wrapText="1"/>
    </xf>
    <xf numFmtId="49" fontId="71" fillId="0" borderId="6" xfId="50" applyNumberFormat="1" applyFont="1" applyFill="1" applyBorder="1" applyAlignment="1" applyProtection="1">
      <alignment horizontal="center" vertical="center"/>
      <protection locked="0"/>
    </xf>
    <xf numFmtId="49" fontId="24" fillId="0" borderId="3" xfId="0" applyNumberFormat="1" applyFont="1" applyFill="1" applyBorder="1" applyAlignment="1">
      <alignment horizontal="left" vertical="center"/>
    </xf>
    <xf numFmtId="0" fontId="20" fillId="0" borderId="6" xfId="73" applyNumberFormat="1" applyFont="1" applyFill="1" applyBorder="1" applyAlignment="1">
      <alignment horizontal="left" vertical="center" wrapText="1"/>
    </xf>
    <xf numFmtId="0" fontId="20" fillId="0" borderId="6" xfId="56" applyNumberFormat="1" applyFont="1" applyFill="1" applyBorder="1" applyAlignment="1" applyProtection="1">
      <alignment horizontal="left"/>
      <protection locked="0"/>
    </xf>
    <xf numFmtId="49" fontId="24" fillId="0" borderId="3" xfId="56" applyNumberFormat="1" applyFont="1" applyFill="1" applyBorder="1" applyAlignment="1">
      <alignment horizontal="center" vertical="center" wrapText="1"/>
    </xf>
    <xf numFmtId="49" fontId="69" fillId="0" borderId="3" xfId="56" applyNumberFormat="1" applyFont="1" applyFill="1" applyBorder="1" applyAlignment="1">
      <alignment horizontal="center" vertical="center"/>
    </xf>
    <xf numFmtId="0" fontId="20" fillId="0" borderId="3" xfId="56" applyNumberFormat="1" applyFont="1" applyFill="1" applyBorder="1" applyAlignment="1" applyProtection="1">
      <alignment vertical="center"/>
      <protection locked="0"/>
    </xf>
    <xf numFmtId="0" fontId="20" fillId="0" borderId="4" xfId="49" applyNumberFormat="1" applyFont="1" applyFill="1" applyBorder="1" applyAlignment="1">
      <alignment horizontal="left" vertical="center" wrapText="1"/>
    </xf>
    <xf numFmtId="0" fontId="24" fillId="0" borderId="3" xfId="49" applyNumberFormat="1" applyFont="1" applyFill="1" applyBorder="1" applyAlignment="1">
      <alignment horizontal="center" vertical="center"/>
    </xf>
    <xf numFmtId="49" fontId="69" fillId="0" borderId="3" xfId="56" applyNumberFormat="1" applyFont="1" applyFill="1" applyBorder="1" applyAlignment="1">
      <alignment horizontal="left" vertical="center"/>
    </xf>
    <xf numFmtId="0" fontId="20" fillId="0" borderId="5" xfId="49" applyNumberFormat="1" applyFont="1" applyFill="1" applyBorder="1" applyAlignment="1">
      <alignment horizontal="left" vertical="center" wrapText="1"/>
    </xf>
    <xf numFmtId="0" fontId="20" fillId="0" borderId="6" xfId="49" applyNumberFormat="1" applyFont="1" applyFill="1" applyBorder="1" applyAlignment="1">
      <alignment horizontal="left" vertical="center" wrapText="1"/>
    </xf>
    <xf numFmtId="0" fontId="72" fillId="24" borderId="8" xfId="55" applyNumberFormat="1" applyFont="1" applyFill="1" applyBorder="1" applyAlignment="1" applyProtection="1">
      <alignment horizontal="center" vertical="center"/>
      <protection locked="0"/>
    </xf>
    <xf numFmtId="0" fontId="73" fillId="0" borderId="3" xfId="56" applyNumberFormat="1" applyFont="1" applyFill="1" applyBorder="1" applyAlignment="1" applyProtection="1">
      <alignment horizontal="left" vertical="center" wrapText="1"/>
      <protection locked="0"/>
    </xf>
    <xf numFmtId="0" fontId="24" fillId="0" borderId="3" xfId="49" applyNumberFormat="1" applyFont="1" applyFill="1" applyBorder="1" applyAlignment="1">
      <alignment horizontal="center" vertical="center" wrapText="1"/>
    </xf>
    <xf numFmtId="0" fontId="72" fillId="24" borderId="7" xfId="55" applyNumberFormat="1" applyFont="1" applyFill="1" applyBorder="1" applyAlignment="1" applyProtection="1">
      <alignment horizontal="center" vertical="center"/>
      <protection locked="0"/>
    </xf>
    <xf numFmtId="0" fontId="72" fillId="24" borderId="9" xfId="55" applyNumberFormat="1" applyFont="1" applyFill="1" applyBorder="1" applyAlignment="1" applyProtection="1">
      <alignment horizontal="center" vertical="center"/>
      <protection locked="0"/>
    </xf>
    <xf numFmtId="0" fontId="72" fillId="24" borderId="10" xfId="55" applyNumberFormat="1" applyFont="1" applyFill="1" applyBorder="1" applyAlignment="1" applyProtection="1">
      <alignment horizontal="center" vertical="center"/>
      <protection locked="0"/>
    </xf>
    <xf numFmtId="0" fontId="18" fillId="0" borderId="0" xfId="51" applyNumberFormat="1" applyFont="1" applyFill="1" applyAlignment="1" applyProtection="1">
      <alignment horizontal="left" vertical="center"/>
      <protection locked="0"/>
    </xf>
    <xf numFmtId="0" fontId="74" fillId="0" borderId="0" xfId="55" applyNumberFormat="1" applyFont="1" applyAlignment="1" applyProtection="1">
      <alignment horizontal="left" vertical="center"/>
      <protection locked="0"/>
    </xf>
    <xf numFmtId="0" fontId="73" fillId="0" borderId="0" xfId="55" applyNumberFormat="1" applyFont="1" applyAlignment="1" applyProtection="1">
      <alignment horizontal="left" vertical="center" wrapText="1"/>
      <protection locked="0"/>
    </xf>
    <xf numFmtId="0" fontId="37" fillId="0" borderId="0" xfId="55" applyNumberFormat="1" applyFont="1" applyAlignment="1" applyProtection="1">
      <alignment horizontal="left" vertical="center"/>
      <protection locked="0"/>
    </xf>
    <xf numFmtId="0" fontId="39" fillId="0" borderId="0" xfId="55" applyNumberFormat="1" applyFont="1" applyAlignment="1" applyProtection="1">
      <alignment horizontal="left" vertical="center" wrapText="1"/>
      <protection locked="0"/>
    </xf>
    <xf numFmtId="0" fontId="75" fillId="0" borderId="0" xfId="55" applyNumberFormat="1" applyFont="1" applyAlignment="1" applyProtection="1">
      <alignment horizontal="left" vertical="center" wrapText="1"/>
      <protection locked="0"/>
    </xf>
    <xf numFmtId="0" fontId="73" fillId="0" borderId="0" xfId="55" applyNumberFormat="1" applyFont="1" applyAlignment="1" applyProtection="1">
      <alignment horizontal="left" vertical="center"/>
      <protection locked="0"/>
    </xf>
    <xf numFmtId="0" fontId="39" fillId="0" borderId="0" xfId="55" applyNumberFormat="1" applyFont="1" applyAlignment="1" applyProtection="1">
      <alignment horizontal="left" vertical="center"/>
      <protection locked="0"/>
    </xf>
    <xf numFmtId="0" fontId="33" fillId="0" borderId="0" xfId="51" applyNumberFormat="1" applyFont="1" applyFill="1" applyBorder="1" applyAlignment="1" applyProtection="1">
      <alignment horizontal="left" vertical="center" wrapText="1"/>
      <protection locked="0"/>
    </xf>
    <xf numFmtId="0" fontId="22" fillId="0" borderId="0" xfId="51" applyNumberFormat="1" applyFont="1" applyFill="1" applyBorder="1" applyAlignment="1" applyProtection="1">
      <alignment horizontal="left" vertical="center"/>
      <protection locked="0"/>
    </xf>
    <xf numFmtId="0" fontId="76" fillId="0" borderId="0" xfId="51" applyNumberFormat="1" applyFont="1" applyFill="1" applyBorder="1" applyAlignment="1" applyProtection="1">
      <alignment horizontal="left" vertical="center"/>
      <protection locked="0"/>
    </xf>
    <xf numFmtId="0" fontId="33" fillId="0" borderId="8" xfId="51" applyNumberFormat="1" applyFont="1" applyFill="1" applyBorder="1" applyAlignment="1" applyProtection="1">
      <alignment horizontal="left" vertical="center" wrapText="1"/>
      <protection locked="0"/>
    </xf>
    <xf numFmtId="0" fontId="19" fillId="11" borderId="4" xfId="50" applyNumberFormat="1" applyFont="1" applyFill="1" applyBorder="1" applyAlignment="1" applyProtection="1">
      <alignment horizontal="left" vertical="center" wrapText="1"/>
    </xf>
    <xf numFmtId="0" fontId="19" fillId="11" borderId="5" xfId="50" applyNumberFormat="1" applyFont="1" applyFill="1" applyBorder="1" applyAlignment="1" applyProtection="1">
      <alignment horizontal="left" vertical="center" wrapText="1"/>
    </xf>
    <xf numFmtId="0" fontId="19" fillId="11" borderId="6" xfId="50" applyNumberFormat="1" applyFont="1" applyFill="1" applyBorder="1" applyAlignment="1" applyProtection="1">
      <alignment horizontal="left" vertical="center" wrapText="1"/>
    </xf>
    <xf numFmtId="0" fontId="20" fillId="23" borderId="3" xfId="50" applyNumberFormat="1" applyFont="1" applyFill="1" applyBorder="1" applyAlignment="1">
      <alignment horizontal="left" vertical="center"/>
    </xf>
    <xf numFmtId="0" fontId="38" fillId="23" borderId="3" xfId="49" applyNumberFormat="1" applyFont="1" applyFill="1" applyBorder="1" applyAlignment="1">
      <alignment horizontal="left" vertical="center"/>
    </xf>
    <xf numFmtId="0" fontId="38" fillId="23" borderId="3" xfId="49" applyNumberFormat="1" applyFont="1" applyFill="1" applyBorder="1" applyAlignment="1">
      <alignment horizontal="left" vertical="center" wrapText="1"/>
    </xf>
    <xf numFmtId="0" fontId="30" fillId="9" borderId="3" xfId="49" applyNumberFormat="1" applyFont="1" applyFill="1" applyBorder="1" applyAlignment="1">
      <alignment horizontal="center" vertical="center" wrapText="1"/>
    </xf>
    <xf numFmtId="0" fontId="58" fillId="23" borderId="3" xfId="49" applyNumberFormat="1" applyFont="1" applyFill="1" applyBorder="1" applyAlignment="1">
      <alignment horizontal="left" vertical="center"/>
    </xf>
    <xf numFmtId="0" fontId="58" fillId="25" borderId="3" xfId="49" applyNumberFormat="1" applyFont="1" applyFill="1" applyBorder="1" applyAlignment="1">
      <alignment horizontal="left" vertical="center"/>
    </xf>
    <xf numFmtId="0" fontId="38" fillId="25" borderId="3" xfId="49" applyNumberFormat="1" applyFont="1" applyFill="1" applyBorder="1" applyAlignment="1">
      <alignment horizontal="left" vertical="center"/>
    </xf>
    <xf numFmtId="0" fontId="38" fillId="23" borderId="3" xfId="73" applyNumberFormat="1" applyFont="1" applyFill="1" applyBorder="1" applyAlignment="1">
      <alignment horizontal="left" vertical="center" wrapText="1"/>
    </xf>
    <xf numFmtId="0" fontId="38" fillId="23" borderId="3" xfId="50" applyNumberFormat="1" applyFont="1" applyFill="1" applyBorder="1" applyAlignment="1" applyProtection="1">
      <alignment horizontal="left" vertical="center" wrapText="1"/>
      <protection locked="0"/>
    </xf>
    <xf numFmtId="0" fontId="58" fillId="26" borderId="3" xfId="50" applyNumberFormat="1" applyFont="1" applyFill="1" applyBorder="1" applyAlignment="1" applyProtection="1">
      <alignment horizontal="left" vertical="center" wrapText="1"/>
      <protection locked="0"/>
    </xf>
    <xf numFmtId="0" fontId="58" fillId="26" borderId="3" xfId="50" applyNumberFormat="1" applyFont="1" applyFill="1" applyBorder="1" applyAlignment="1" applyProtection="1">
      <alignment horizontal="center" vertical="center" wrapText="1"/>
      <protection locked="0"/>
    </xf>
    <xf numFmtId="0" fontId="77" fillId="20" borderId="3" xfId="50" applyNumberFormat="1" applyFont="1" applyFill="1" applyBorder="1" applyAlignment="1" applyProtection="1">
      <alignment horizontal="center" vertical="center" wrapText="1"/>
      <protection locked="0"/>
    </xf>
    <xf numFmtId="0" fontId="58" fillId="23" borderId="3" xfId="50" applyNumberFormat="1" applyFont="1" applyFill="1" applyBorder="1" applyAlignment="1" applyProtection="1">
      <alignment horizontal="center" vertical="center" wrapText="1"/>
      <protection locked="0"/>
    </xf>
    <xf numFmtId="0" fontId="58" fillId="23" borderId="3" xfId="55" applyNumberFormat="1" applyFont="1" applyFill="1" applyBorder="1" applyAlignment="1" applyProtection="1">
      <alignment horizontal="left" vertical="center" wrapText="1"/>
      <protection locked="0"/>
    </xf>
    <xf numFmtId="0" fontId="38" fillId="23" borderId="3" xfId="50" applyNumberFormat="1" applyFont="1" applyFill="1" applyBorder="1" applyAlignment="1">
      <alignment horizontal="left" vertical="center" wrapText="1"/>
    </xf>
    <xf numFmtId="49" fontId="30" fillId="22" borderId="3" xfId="65" applyNumberFormat="1" applyFont="1" applyFill="1" applyBorder="1" applyAlignment="1" applyProtection="1">
      <alignment horizontal="center" vertical="center"/>
      <protection locked="0"/>
    </xf>
    <xf numFmtId="0" fontId="58" fillId="10" borderId="3" xfId="49" applyNumberFormat="1" applyFont="1" applyFill="1" applyBorder="1" applyAlignment="1">
      <alignment horizontal="left" vertical="center" wrapText="1"/>
    </xf>
    <xf numFmtId="0" fontId="58" fillId="23" borderId="3" xfId="73" applyNumberFormat="1" applyFont="1" applyFill="1" applyBorder="1" applyAlignment="1">
      <alignment horizontal="left" vertical="center" wrapText="1"/>
    </xf>
    <xf numFmtId="0" fontId="38" fillId="23" borderId="3" xfId="49" applyNumberFormat="1" applyFont="1" applyFill="1" applyBorder="1" applyAlignment="1" applyProtection="1">
      <alignment horizontal="left" vertical="center"/>
      <protection locked="0"/>
    </xf>
    <xf numFmtId="0" fontId="38" fillId="10" borderId="3" xfId="49" applyNumberFormat="1" applyFont="1" applyFill="1" applyBorder="1" applyAlignment="1">
      <alignment horizontal="left" vertical="center" wrapText="1"/>
    </xf>
    <xf numFmtId="0" fontId="38" fillId="10" borderId="3" xfId="73" applyNumberFormat="1" applyFont="1" applyFill="1" applyBorder="1" applyAlignment="1">
      <alignment horizontal="left" vertical="center" wrapText="1"/>
    </xf>
    <xf numFmtId="0" fontId="38" fillId="9" borderId="3" xfId="73" applyNumberFormat="1" applyFont="1" applyFill="1" applyBorder="1" applyAlignment="1">
      <alignment horizontal="left" vertical="center" wrapText="1"/>
    </xf>
    <xf numFmtId="0" fontId="38" fillId="10" borderId="3" xfId="50" applyNumberFormat="1" applyFont="1" applyFill="1" applyBorder="1" applyAlignment="1" applyProtection="1">
      <alignment horizontal="left" vertical="center" wrapText="1"/>
      <protection locked="0"/>
    </xf>
    <xf numFmtId="0" fontId="58" fillId="25" borderId="3" xfId="50" applyNumberFormat="1" applyFont="1" applyFill="1" applyBorder="1" applyAlignment="1" applyProtection="1">
      <alignment horizontal="left" vertical="center" wrapText="1"/>
      <protection locked="0"/>
    </xf>
    <xf numFmtId="49" fontId="30" fillId="10" borderId="3" xfId="65" applyNumberFormat="1" applyFont="1" applyFill="1" applyBorder="1" applyAlignment="1" applyProtection="1">
      <alignment horizontal="center" vertical="center"/>
      <protection locked="0"/>
    </xf>
    <xf numFmtId="0" fontId="30" fillId="9" borderId="3" xfId="73" applyNumberFormat="1" applyFont="1" applyFill="1" applyBorder="1" applyAlignment="1" applyProtection="1">
      <alignment horizontal="left" vertical="center" wrapText="1"/>
      <protection locked="0"/>
    </xf>
    <xf numFmtId="0" fontId="20" fillId="10" borderId="4" xfId="50" applyNumberFormat="1" applyFont="1" applyFill="1" applyBorder="1" applyAlignment="1">
      <alignment horizontal="left" vertical="center" wrapText="1"/>
    </xf>
    <xf numFmtId="0" fontId="58" fillId="10" borderId="4" xfId="49" applyNumberFormat="1" applyFont="1" applyFill="1" applyBorder="1" applyAlignment="1">
      <alignment horizontal="left" vertical="center" wrapText="1"/>
    </xf>
    <xf numFmtId="0" fontId="58" fillId="23" borderId="4" xfId="50" applyNumberFormat="1" applyFont="1" applyFill="1" applyBorder="1" applyAlignment="1" applyProtection="1">
      <alignment horizontal="left" vertical="center" wrapText="1"/>
      <protection locked="0"/>
    </xf>
    <xf numFmtId="0" fontId="20" fillId="23" borderId="3" xfId="49" applyNumberFormat="1" applyFont="1" applyFill="1" applyBorder="1" applyAlignment="1" applyProtection="1">
      <alignment horizontal="left" vertical="center"/>
      <protection locked="0"/>
    </xf>
    <xf numFmtId="0" fontId="38" fillId="9" borderId="3" xfId="49" applyNumberFormat="1" applyFont="1" applyFill="1" applyBorder="1" applyAlignment="1">
      <alignment horizontal="left" vertical="center"/>
    </xf>
    <xf numFmtId="0" fontId="24" fillId="25" borderId="4" xfId="50" applyNumberFormat="1" applyFont="1" applyFill="1" applyBorder="1" applyAlignment="1" applyProtection="1">
      <alignment horizontal="left" vertical="center" wrapText="1"/>
      <protection locked="0"/>
    </xf>
    <xf numFmtId="0" fontId="77" fillId="20" borderId="4" xfId="50" applyNumberFormat="1" applyFont="1" applyFill="1" applyBorder="1" applyAlignment="1" applyProtection="1">
      <alignment horizontal="center" vertical="center" wrapText="1"/>
      <protection locked="0"/>
    </xf>
    <xf numFmtId="0" fontId="30" fillId="9" borderId="4" xfId="55" applyNumberFormat="1" applyFont="1" applyFill="1" applyBorder="1" applyAlignment="1" applyProtection="1">
      <alignment horizontal="left" vertical="center" wrapText="1"/>
      <protection locked="0"/>
    </xf>
    <xf numFmtId="0" fontId="38" fillId="10" borderId="4" xfId="50" applyNumberFormat="1" applyFont="1" applyFill="1" applyBorder="1" applyAlignment="1">
      <alignment horizontal="left" vertical="center" wrapText="1"/>
    </xf>
    <xf numFmtId="0" fontId="38" fillId="10" borderId="4" xfId="49" applyNumberFormat="1" applyFont="1" applyFill="1" applyBorder="1" applyAlignment="1">
      <alignment horizontal="left" vertical="center" wrapText="1"/>
    </xf>
    <xf numFmtId="0" fontId="58" fillId="23" borderId="4" xfId="50" applyNumberFormat="1" applyFont="1" applyFill="1" applyBorder="1" applyAlignment="1">
      <alignment horizontal="left" vertical="center" wrapText="1"/>
    </xf>
    <xf numFmtId="0" fontId="38" fillId="23" borderId="3" xfId="49" applyNumberFormat="1" applyFont="1" applyFill="1" applyBorder="1" applyAlignment="1" applyProtection="1">
      <alignment horizontal="left" vertical="center" wrapText="1"/>
      <protection locked="0"/>
    </xf>
    <xf numFmtId="0" fontId="58" fillId="9" borderId="3" xfId="49" applyNumberFormat="1" applyFont="1" applyFill="1" applyBorder="1" applyAlignment="1">
      <alignment horizontal="left" vertical="center"/>
    </xf>
    <xf numFmtId="0" fontId="58" fillId="27" borderId="4" xfId="50" applyNumberFormat="1" applyFont="1" applyFill="1" applyBorder="1" applyAlignment="1" applyProtection="1">
      <alignment horizontal="left" vertical="center" wrapText="1"/>
      <protection locked="0"/>
    </xf>
    <xf numFmtId="0" fontId="58" fillId="20" borderId="4" xfId="49" applyNumberFormat="1" applyFont="1" applyFill="1" applyBorder="1" applyAlignment="1">
      <alignment horizontal="center" vertical="center" wrapText="1"/>
    </xf>
    <xf numFmtId="0" fontId="58" fillId="23" borderId="3" xfId="50" applyNumberFormat="1" applyFont="1" applyFill="1" applyBorder="1" applyAlignment="1" applyProtection="1">
      <alignment horizontal="left" vertical="center" wrapText="1"/>
      <protection locked="0"/>
    </xf>
    <xf numFmtId="0" fontId="58" fillId="10" borderId="4" xfId="50" applyNumberFormat="1" applyFont="1" applyFill="1" applyBorder="1" applyAlignment="1" applyProtection="1">
      <alignment horizontal="left" vertical="center" wrapText="1"/>
      <protection locked="0"/>
    </xf>
    <xf numFmtId="0" fontId="58" fillId="26" borderId="4" xfId="50" applyNumberFormat="1" applyFont="1" applyFill="1" applyBorder="1" applyAlignment="1" applyProtection="1">
      <alignment horizontal="center" vertical="center" wrapText="1"/>
      <protection locked="0"/>
    </xf>
    <xf numFmtId="0" fontId="58" fillId="10" borderId="4" xfId="50" applyNumberFormat="1" applyFont="1" applyFill="1" applyBorder="1" applyAlignment="1" applyProtection="1">
      <alignment horizontal="center" vertical="center" wrapText="1"/>
      <protection locked="0"/>
    </xf>
    <xf numFmtId="0" fontId="58" fillId="10" borderId="4" xfId="49" applyNumberFormat="1" applyFont="1" applyFill="1" applyBorder="1" applyAlignment="1">
      <alignment horizontal="center" vertical="center"/>
    </xf>
    <xf numFmtId="0" fontId="58" fillId="23" borderId="4" xfId="50" applyNumberFormat="1" applyFont="1" applyFill="1" applyBorder="1" applyAlignment="1">
      <alignment horizontal="center" vertical="center" wrapText="1"/>
    </xf>
    <xf numFmtId="0" fontId="24" fillId="23" borderId="4" xfId="55" applyNumberFormat="1" applyFont="1" applyFill="1" applyBorder="1" applyAlignment="1" applyProtection="1">
      <alignment horizontal="left" vertical="center" wrapText="1"/>
      <protection locked="0"/>
    </xf>
    <xf numFmtId="0" fontId="38" fillId="10" borderId="3" xfId="50" applyNumberFormat="1" applyFont="1" applyFill="1" applyBorder="1" applyAlignment="1">
      <alignment horizontal="left" vertical="center" wrapText="1"/>
    </xf>
    <xf numFmtId="0" fontId="58" fillId="23" borderId="4" xfId="49" applyNumberFormat="1" applyFont="1" applyFill="1" applyBorder="1" applyAlignment="1">
      <alignment horizontal="left" vertical="center" wrapText="1"/>
    </xf>
    <xf numFmtId="0" fontId="58" fillId="10" borderId="4" xfId="50" applyNumberFormat="1" applyFont="1" applyFill="1" applyBorder="1" applyAlignment="1">
      <alignment horizontal="center" vertical="center" wrapText="1"/>
    </xf>
    <xf numFmtId="0" fontId="58" fillId="23" borderId="3" xfId="49" applyNumberFormat="1" applyFont="1" applyFill="1" applyBorder="1" applyAlignment="1">
      <alignment horizontal="left" vertical="center" wrapText="1"/>
    </xf>
    <xf numFmtId="0" fontId="57" fillId="9" borderId="3" xfId="49" applyNumberFormat="1" applyFont="1" applyFill="1" applyBorder="1" applyAlignment="1">
      <alignment horizontal="left" vertical="center" wrapText="1"/>
    </xf>
    <xf numFmtId="0" fontId="38" fillId="23" borderId="4" xfId="50" applyNumberFormat="1" applyFont="1" applyFill="1" applyBorder="1" applyAlignment="1">
      <alignment horizontal="left" vertical="center" wrapText="1"/>
    </xf>
    <xf numFmtId="0" fontId="38" fillId="23" borderId="4" xfId="49" applyNumberFormat="1" applyFont="1" applyFill="1" applyBorder="1" applyAlignment="1">
      <alignment horizontal="left" vertical="center"/>
    </xf>
    <xf numFmtId="0" fontId="38" fillId="23" borderId="4" xfId="0" applyFont="1" applyFill="1" applyBorder="1" applyAlignment="1">
      <alignment horizontal="left" vertical="center" wrapText="1"/>
    </xf>
    <xf numFmtId="0" fontId="38" fillId="23" borderId="4" xfId="0" applyFont="1" applyFill="1" applyBorder="1" applyAlignment="1">
      <alignment horizontal="left" vertical="center"/>
    </xf>
    <xf numFmtId="0" fontId="38" fillId="23" borderId="4" xfId="49" applyNumberFormat="1" applyFont="1" applyFill="1" applyBorder="1" applyAlignment="1">
      <alignment horizontal="left" vertical="center" wrapText="1"/>
    </xf>
    <xf numFmtId="0" fontId="58" fillId="10" borderId="5" xfId="50" applyNumberFormat="1" applyFont="1" applyFill="1" applyBorder="1" applyAlignment="1" applyProtection="1">
      <alignment horizontal="left" vertical="center" wrapText="1"/>
      <protection locked="0"/>
    </xf>
    <xf numFmtId="0" fontId="58" fillId="26" borderId="5" xfId="50" applyNumberFormat="1" applyFont="1" applyFill="1" applyBorder="1" applyAlignment="1" applyProtection="1">
      <alignment horizontal="center" vertical="center" wrapText="1"/>
      <protection locked="0"/>
    </xf>
    <xf numFmtId="0" fontId="77" fillId="20" borderId="5" xfId="50" applyNumberFormat="1" applyFont="1" applyFill="1" applyBorder="1" applyAlignment="1" applyProtection="1">
      <alignment horizontal="center" vertical="center" wrapText="1"/>
      <protection locked="0"/>
    </xf>
    <xf numFmtId="0" fontId="58" fillId="10" borderId="5" xfId="50" applyNumberFormat="1" applyFont="1" applyFill="1" applyBorder="1" applyAlignment="1" applyProtection="1">
      <alignment horizontal="center" vertical="center" wrapText="1"/>
      <protection locked="0"/>
    </xf>
    <xf numFmtId="0" fontId="58" fillId="10" borderId="5" xfId="49" applyNumberFormat="1" applyFont="1" applyFill="1" applyBorder="1" applyAlignment="1">
      <alignment horizontal="center" vertical="center"/>
    </xf>
    <xf numFmtId="0" fontId="58" fillId="23" borderId="5" xfId="49" applyNumberFormat="1" applyFont="1" applyFill="1" applyBorder="1" applyAlignment="1">
      <alignment horizontal="center" vertical="center"/>
    </xf>
    <xf numFmtId="0" fontId="58" fillId="23" borderId="5" xfId="49" applyNumberFormat="1" applyFont="1" applyFill="1" applyBorder="1" applyAlignment="1">
      <alignment horizontal="left" vertical="center" wrapText="1"/>
    </xf>
    <xf numFmtId="0" fontId="20" fillId="23" borderId="3" xfId="50" applyNumberFormat="1" applyFont="1" applyFill="1" applyBorder="1" applyAlignment="1">
      <alignment horizontal="left" vertical="center" wrapText="1"/>
    </xf>
    <xf numFmtId="0" fontId="57" fillId="22" borderId="3" xfId="49" applyNumberFormat="1" applyFont="1" applyFill="1" applyBorder="1" applyAlignment="1">
      <alignment horizontal="center" vertical="center" wrapText="1"/>
    </xf>
    <xf numFmtId="0" fontId="58" fillId="9" borderId="3" xfId="49" applyNumberFormat="1" applyFont="1" applyFill="1" applyBorder="1" applyAlignment="1">
      <alignment horizontal="left" vertical="center" wrapText="1"/>
    </xf>
    <xf numFmtId="0" fontId="58" fillId="10" borderId="3" xfId="73" applyNumberFormat="1" applyFont="1" applyFill="1" applyBorder="1" applyAlignment="1">
      <alignment horizontal="left" vertical="center" wrapText="1"/>
    </xf>
    <xf numFmtId="0" fontId="38" fillId="9" borderId="3" xfId="73" applyNumberFormat="1" applyFont="1" applyFill="1" applyBorder="1" applyAlignment="1">
      <alignment vertical="center" wrapText="1"/>
    </xf>
    <xf numFmtId="0" fontId="57" fillId="26" borderId="3" xfId="50" applyNumberFormat="1" applyFont="1" applyFill="1" applyBorder="1" applyAlignment="1" applyProtection="1">
      <alignment horizontal="center" vertical="center" wrapText="1"/>
      <protection locked="0"/>
    </xf>
    <xf numFmtId="0" fontId="57" fillId="9" borderId="3" xfId="50" applyNumberFormat="1" applyFont="1" applyFill="1" applyBorder="1" applyAlignment="1" applyProtection="1">
      <alignment horizontal="center" vertical="center" wrapText="1"/>
      <protection locked="0"/>
    </xf>
    <xf numFmtId="0" fontId="24" fillId="23" borderId="3" xfId="50" applyNumberFormat="1" applyFont="1" applyFill="1" applyBorder="1" applyAlignment="1" applyProtection="1">
      <alignment horizontal="left" vertical="center" wrapText="1"/>
      <protection locked="0"/>
    </xf>
    <xf numFmtId="0" fontId="57" fillId="22" borderId="4" xfId="49" applyNumberFormat="1" applyFont="1" applyFill="1" applyBorder="1" applyAlignment="1">
      <alignment horizontal="center" vertical="center" wrapText="1"/>
    </xf>
    <xf numFmtId="0" fontId="38" fillId="23" borderId="3" xfId="49" applyNumberFormat="1" applyFont="1" applyFill="1" applyBorder="1" applyAlignment="1" applyProtection="1">
      <alignment vertical="center"/>
      <protection locked="0"/>
    </xf>
    <xf numFmtId="0" fontId="38" fillId="23" borderId="4" xfId="73" applyNumberFormat="1" applyFont="1" applyFill="1" applyBorder="1" applyAlignment="1">
      <alignment vertical="center" wrapText="1"/>
    </xf>
    <xf numFmtId="0" fontId="38" fillId="10" borderId="4" xfId="73" applyNumberFormat="1" applyFont="1" applyFill="1" applyBorder="1" applyAlignment="1">
      <alignment vertical="center" wrapText="1"/>
    </xf>
    <xf numFmtId="0" fontId="38" fillId="10" borderId="3" xfId="49" applyNumberFormat="1" applyFont="1" applyFill="1" applyBorder="1" applyAlignment="1">
      <alignment vertical="center"/>
    </xf>
    <xf numFmtId="0" fontId="38" fillId="10" borderId="3" xfId="73" applyNumberFormat="1" applyFont="1" applyFill="1" applyBorder="1" applyAlignment="1">
      <alignment vertical="center" wrapText="1"/>
    </xf>
    <xf numFmtId="0" fontId="38" fillId="10" borderId="3" xfId="50" applyNumberFormat="1" applyFont="1" applyFill="1" applyBorder="1" applyAlignment="1" applyProtection="1">
      <alignment vertical="center" wrapText="1"/>
      <protection locked="0"/>
    </xf>
    <xf numFmtId="0" fontId="58" fillId="25" borderId="4" xfId="50" applyNumberFormat="1" applyFont="1" applyFill="1" applyBorder="1" applyAlignment="1" applyProtection="1">
      <alignment horizontal="left" vertical="center" wrapText="1"/>
      <protection locked="0"/>
    </xf>
    <xf numFmtId="0" fontId="57" fillId="26" borderId="4" xfId="50" applyNumberFormat="1" applyFont="1" applyFill="1" applyBorder="1" applyAlignment="1" applyProtection="1">
      <alignment horizontal="center" vertical="center" wrapText="1"/>
      <protection locked="0"/>
    </xf>
    <xf numFmtId="0" fontId="58" fillId="23" borderId="4" xfId="55" applyNumberFormat="1" applyFont="1" applyFill="1" applyBorder="1" applyAlignment="1" applyProtection="1">
      <alignment horizontal="left" vertical="center" wrapText="1"/>
      <protection locked="0"/>
    </xf>
    <xf numFmtId="0" fontId="38" fillId="10" borderId="6" xfId="50" applyNumberFormat="1" applyFont="1" applyFill="1" applyBorder="1" applyAlignment="1">
      <alignment horizontal="left" vertical="center" wrapText="1"/>
    </xf>
    <xf numFmtId="0" fontId="57" fillId="22" borderId="6" xfId="49" applyNumberFormat="1" applyFont="1" applyFill="1" applyBorder="1" applyAlignment="1">
      <alignment horizontal="center" vertical="center" wrapText="1"/>
    </xf>
    <xf numFmtId="0" fontId="58" fillId="10" borderId="6" xfId="49" applyNumberFormat="1" applyFont="1" applyFill="1" applyBorder="1" applyAlignment="1">
      <alignment horizontal="left" vertical="center" wrapText="1"/>
    </xf>
    <xf numFmtId="0" fontId="58" fillId="23" borderId="6" xfId="50" applyNumberFormat="1" applyFont="1" applyFill="1" applyBorder="1" applyAlignment="1">
      <alignment horizontal="left" vertical="center" wrapText="1"/>
    </xf>
    <xf numFmtId="0" fontId="38" fillId="9" borderId="3" xfId="73" applyNumberFormat="1" applyFont="1" applyFill="1" applyBorder="1" applyAlignment="1">
      <alignment horizontal="right" vertical="center" wrapText="1"/>
    </xf>
    <xf numFmtId="0" fontId="58" fillId="25" borderId="6" xfId="50" applyNumberFormat="1" applyFont="1" applyFill="1" applyBorder="1" applyAlignment="1" applyProtection="1">
      <alignment horizontal="left" vertical="center" wrapText="1"/>
      <protection locked="0"/>
    </xf>
    <xf numFmtId="0" fontId="77" fillId="20" borderId="6" xfId="50" applyNumberFormat="1" applyFont="1" applyFill="1" applyBorder="1" applyAlignment="1" applyProtection="1">
      <alignment horizontal="center" vertical="center" wrapText="1"/>
      <protection locked="0"/>
    </xf>
    <xf numFmtId="0" fontId="57" fillId="26" borderId="6" xfId="50" applyNumberFormat="1" applyFont="1" applyFill="1" applyBorder="1" applyAlignment="1" applyProtection="1">
      <alignment horizontal="center" vertical="center" wrapText="1"/>
      <protection locked="0"/>
    </xf>
    <xf numFmtId="0" fontId="58" fillId="23" borderId="6" xfId="55" applyNumberFormat="1" applyFont="1" applyFill="1" applyBorder="1" applyAlignment="1" applyProtection="1">
      <alignment horizontal="left" vertical="center" wrapText="1"/>
      <protection locked="0"/>
    </xf>
    <xf numFmtId="0" fontId="20" fillId="23" borderId="4" xfId="50" applyNumberFormat="1" applyFont="1" applyFill="1" applyBorder="1" applyAlignment="1">
      <alignment horizontal="left" vertical="center" wrapText="1"/>
    </xf>
    <xf numFmtId="0" fontId="20" fillId="23" borderId="4" xfId="49" applyNumberFormat="1" applyFont="1" applyFill="1" applyBorder="1" applyAlignment="1">
      <alignment horizontal="left" vertical="center"/>
    </xf>
    <xf numFmtId="0" fontId="20" fillId="23" borderId="4" xfId="49" applyNumberFormat="1" applyFont="1" applyFill="1" applyBorder="1" applyAlignment="1">
      <alignment horizontal="left" vertical="center" wrapText="1"/>
    </xf>
    <xf numFmtId="0" fontId="24" fillId="20" borderId="4" xfId="49" applyNumberFormat="1" applyFont="1" applyFill="1" applyBorder="1" applyAlignment="1">
      <alignment horizontal="center" vertical="center" wrapText="1"/>
    </xf>
    <xf numFmtId="0" fontId="24" fillId="23" borderId="4" xfId="49" applyNumberFormat="1" applyFont="1" applyFill="1" applyBorder="1" applyAlignment="1">
      <alignment horizontal="left" vertical="center" wrapText="1"/>
    </xf>
    <xf numFmtId="0" fontId="24" fillId="10" borderId="4" xfId="50" applyNumberFormat="1" applyFont="1" applyFill="1" applyBorder="1" applyAlignment="1" applyProtection="1">
      <alignment horizontal="left" vertical="center" wrapText="1"/>
      <protection locked="0"/>
    </xf>
    <xf numFmtId="0" fontId="24" fillId="26" borderId="4" xfId="50" applyNumberFormat="1" applyFont="1" applyFill="1" applyBorder="1" applyAlignment="1" applyProtection="1">
      <alignment horizontal="center" vertical="center" wrapText="1"/>
      <protection locked="0"/>
    </xf>
    <xf numFmtId="0" fontId="78" fillId="20" borderId="4" xfId="50" applyNumberFormat="1" applyFont="1" applyFill="1" applyBorder="1" applyAlignment="1" applyProtection="1">
      <alignment horizontal="center" vertical="center" wrapText="1"/>
      <protection locked="0"/>
    </xf>
    <xf numFmtId="0" fontId="24" fillId="10" borderId="4" xfId="50" applyNumberFormat="1" applyFont="1" applyFill="1" applyBorder="1" applyAlignment="1" applyProtection="1">
      <alignment horizontal="center" vertical="center" wrapText="1"/>
      <protection locked="0"/>
    </xf>
    <xf numFmtId="0" fontId="24" fillId="23" borderId="4" xfId="50" applyNumberFormat="1" applyFont="1" applyFill="1" applyBorder="1" applyAlignment="1" applyProtection="1">
      <alignment horizontal="center" vertical="center" wrapText="1"/>
      <protection locked="0"/>
    </xf>
    <xf numFmtId="0" fontId="24" fillId="23" borderId="4" xfId="50" applyNumberFormat="1" applyFont="1" applyFill="1" applyBorder="1" applyAlignment="1" applyProtection="1">
      <alignment horizontal="left" vertical="center" wrapText="1"/>
      <protection locked="0"/>
    </xf>
    <xf numFmtId="0" fontId="20" fillId="23" borderId="6" xfId="50" applyNumberFormat="1" applyFont="1" applyFill="1" applyBorder="1" applyAlignment="1">
      <alignment horizontal="left" vertical="center" wrapText="1"/>
    </xf>
    <xf numFmtId="0" fontId="20" fillId="23" borderId="6" xfId="49" applyNumberFormat="1" applyFont="1" applyFill="1" applyBorder="1" applyAlignment="1">
      <alignment horizontal="left" vertical="center"/>
    </xf>
    <xf numFmtId="0" fontId="20" fillId="23" borderId="6" xfId="49" applyNumberFormat="1" applyFont="1" applyFill="1" applyBorder="1" applyAlignment="1">
      <alignment horizontal="left" vertical="center" wrapText="1"/>
    </xf>
    <xf numFmtId="0" fontId="24" fillId="20" borderId="6" xfId="49" applyNumberFormat="1" applyFont="1" applyFill="1" applyBorder="1" applyAlignment="1">
      <alignment horizontal="center" vertical="center" wrapText="1"/>
    </xf>
    <xf numFmtId="0" fontId="24" fillId="23" borderId="6" xfId="49" applyNumberFormat="1" applyFont="1" applyFill="1" applyBorder="1" applyAlignment="1">
      <alignment horizontal="left" vertical="center" wrapText="1"/>
    </xf>
    <xf numFmtId="0" fontId="24" fillId="10" borderId="6" xfId="50" applyNumberFormat="1" applyFont="1" applyFill="1" applyBorder="1" applyAlignment="1" applyProtection="1">
      <alignment horizontal="left" vertical="center" wrapText="1"/>
      <protection locked="0"/>
    </xf>
    <xf numFmtId="0" fontId="24" fillId="26" borderId="6" xfId="50" applyNumberFormat="1" applyFont="1" applyFill="1" applyBorder="1" applyAlignment="1" applyProtection="1">
      <alignment horizontal="center" vertical="center" wrapText="1"/>
      <protection locked="0"/>
    </xf>
    <xf numFmtId="0" fontId="78" fillId="20" borderId="6" xfId="50" applyNumberFormat="1" applyFont="1" applyFill="1" applyBorder="1" applyAlignment="1" applyProtection="1">
      <alignment horizontal="center" vertical="center" wrapText="1"/>
      <protection locked="0"/>
    </xf>
    <xf numFmtId="0" fontId="24" fillId="10" borderId="6" xfId="50" applyNumberFormat="1" applyFont="1" applyFill="1" applyBorder="1" applyAlignment="1" applyProtection="1">
      <alignment horizontal="center" vertical="center" wrapText="1"/>
      <protection locked="0"/>
    </xf>
    <xf numFmtId="0" fontId="24" fillId="23" borderId="6" xfId="50" applyNumberFormat="1" applyFont="1" applyFill="1" applyBorder="1" applyAlignment="1" applyProtection="1">
      <alignment horizontal="center" vertical="center" wrapText="1"/>
      <protection locked="0"/>
    </xf>
    <xf numFmtId="0" fontId="24" fillId="23" borderId="6" xfId="50" applyNumberFormat="1" applyFont="1" applyFill="1" applyBorder="1" applyAlignment="1" applyProtection="1">
      <alignment horizontal="left" vertical="center" wrapText="1"/>
      <protection locked="0"/>
    </xf>
    <xf numFmtId="0" fontId="38" fillId="10" borderId="4" xfId="49" applyNumberFormat="1" applyFont="1" applyFill="1" applyBorder="1" applyAlignment="1">
      <alignment horizontal="left" vertical="center"/>
    </xf>
    <xf numFmtId="0" fontId="58" fillId="10" borderId="4" xfId="49" applyNumberFormat="1" applyFont="1" applyFill="1" applyBorder="1" applyAlignment="1">
      <alignment horizontal="left" vertical="center"/>
    </xf>
    <xf numFmtId="0" fontId="38" fillId="10" borderId="6" xfId="49" applyNumberFormat="1" applyFont="1" applyFill="1" applyBorder="1" applyAlignment="1">
      <alignment horizontal="left" vertical="center"/>
    </xf>
    <xf numFmtId="0" fontId="58" fillId="20" borderId="6" xfId="49" applyNumberFormat="1" applyFont="1" applyFill="1" applyBorder="1" applyAlignment="1">
      <alignment horizontal="center" vertical="center" wrapText="1"/>
    </xf>
    <xf numFmtId="0" fontId="58" fillId="10" borderId="6" xfId="49" applyNumberFormat="1" applyFont="1" applyFill="1" applyBorder="1" applyAlignment="1">
      <alignment horizontal="left" vertical="center"/>
    </xf>
    <xf numFmtId="0" fontId="58" fillId="10" borderId="6" xfId="50" applyNumberFormat="1" applyFont="1" applyFill="1" applyBorder="1" applyAlignment="1" applyProtection="1">
      <alignment horizontal="left" vertical="center" wrapText="1"/>
      <protection locked="0"/>
    </xf>
    <xf numFmtId="0" fontId="58" fillId="26" borderId="6" xfId="50" applyNumberFormat="1" applyFont="1" applyFill="1" applyBorder="1" applyAlignment="1" applyProtection="1">
      <alignment horizontal="center" vertical="center" wrapText="1"/>
      <protection locked="0"/>
    </xf>
    <xf numFmtId="0" fontId="58" fillId="10" borderId="6" xfId="50" applyNumberFormat="1" applyFont="1" applyFill="1" applyBorder="1" applyAlignment="1" applyProtection="1">
      <alignment horizontal="center" vertical="center" wrapText="1"/>
      <protection locked="0"/>
    </xf>
    <xf numFmtId="0" fontId="58" fillId="10" borderId="6" xfId="49" applyNumberFormat="1" applyFont="1" applyFill="1" applyBorder="1" applyAlignment="1">
      <alignment horizontal="center" vertical="center"/>
    </xf>
    <xf numFmtId="0" fontId="38" fillId="10" borderId="4" xfId="73" applyNumberFormat="1" applyFont="1" applyFill="1" applyBorder="1" applyAlignment="1">
      <alignment horizontal="left" vertical="center" wrapText="1"/>
    </xf>
    <xf numFmtId="0" fontId="57" fillId="22" borderId="4" xfId="73" applyNumberFormat="1" applyFont="1" applyFill="1" applyBorder="1" applyAlignment="1">
      <alignment horizontal="center" vertical="center" wrapText="1"/>
    </xf>
    <xf numFmtId="0" fontId="58" fillId="23" borderId="4" xfId="73" applyNumberFormat="1" applyFont="1" applyFill="1" applyBorder="1" applyAlignment="1">
      <alignment horizontal="left" vertical="center" wrapText="1"/>
    </xf>
    <xf numFmtId="0" fontId="57" fillId="22" borderId="4" xfId="50" applyNumberFormat="1" applyFont="1" applyFill="1" applyBorder="1" applyAlignment="1" applyProtection="1">
      <alignment horizontal="center" vertical="center" wrapText="1"/>
      <protection locked="0"/>
    </xf>
    <xf numFmtId="0" fontId="57" fillId="28" borderId="4" xfId="50" applyNumberFormat="1" applyFont="1" applyFill="1" applyBorder="1" applyAlignment="1" applyProtection="1">
      <alignment horizontal="center" vertical="center" wrapText="1"/>
      <protection locked="0"/>
    </xf>
    <xf numFmtId="0" fontId="58" fillId="23" borderId="3" xfId="73" applyNumberFormat="1" applyFont="1" applyFill="1" applyBorder="1" applyAlignment="1" applyProtection="1">
      <alignment horizontal="left" vertical="center" wrapText="1"/>
      <protection locked="0"/>
    </xf>
    <xf numFmtId="0" fontId="39" fillId="0" borderId="13" xfId="55" applyNumberFormat="1" applyFont="1" applyBorder="1" applyAlignment="1" applyProtection="1">
      <alignment horizontal="left" vertical="center" wrapText="1"/>
      <protection locked="0"/>
    </xf>
    <xf numFmtId="0" fontId="38" fillId="10" borderId="5" xfId="73" applyNumberFormat="1" applyFont="1" applyFill="1" applyBorder="1" applyAlignment="1">
      <alignment horizontal="left" vertical="center" wrapText="1"/>
    </xf>
    <xf numFmtId="0" fontId="57" fillId="22" borderId="5" xfId="73" applyNumberFormat="1" applyFont="1" applyFill="1" applyBorder="1" applyAlignment="1">
      <alignment horizontal="center" vertical="center" wrapText="1"/>
    </xf>
    <xf numFmtId="0" fontId="58" fillId="23" borderId="5" xfId="73" applyNumberFormat="1" applyFont="1" applyFill="1" applyBorder="1" applyAlignment="1">
      <alignment horizontal="left" vertical="center" wrapText="1"/>
    </xf>
    <xf numFmtId="0" fontId="57" fillId="22" borderId="5" xfId="50" applyNumberFormat="1" applyFont="1" applyFill="1" applyBorder="1" applyAlignment="1" applyProtection="1">
      <alignment horizontal="center" vertical="center" wrapText="1"/>
      <protection locked="0"/>
    </xf>
    <xf numFmtId="0" fontId="57" fillId="26" borderId="5" xfId="50" applyNumberFormat="1" applyFont="1" applyFill="1" applyBorder="1" applyAlignment="1" applyProtection="1">
      <alignment horizontal="center" vertical="center" wrapText="1"/>
      <protection locked="0"/>
    </xf>
    <xf numFmtId="0" fontId="57" fillId="28" borderId="5" xfId="50" applyNumberFormat="1" applyFont="1" applyFill="1" applyBorder="1" applyAlignment="1" applyProtection="1">
      <alignment horizontal="center" vertical="center" wrapText="1"/>
      <protection locked="0"/>
    </xf>
    <xf numFmtId="0" fontId="57" fillId="22" borderId="6" xfId="73" applyNumberFormat="1" applyFont="1" applyFill="1" applyBorder="1" applyAlignment="1">
      <alignment horizontal="center" vertical="center" wrapText="1"/>
    </xf>
    <xf numFmtId="0" fontId="58" fillId="23" borderId="6" xfId="49" applyNumberFormat="1" applyFont="1" applyFill="1" applyBorder="1" applyAlignment="1">
      <alignment horizontal="left" vertical="center" wrapText="1"/>
    </xf>
    <xf numFmtId="0" fontId="58" fillId="23" borderId="6" xfId="73" applyNumberFormat="1" applyFont="1" applyFill="1" applyBorder="1" applyAlignment="1">
      <alignment horizontal="left" vertical="center" wrapText="1"/>
    </xf>
    <xf numFmtId="16" fontId="38" fillId="23" borderId="3" xfId="73" applyNumberFormat="1" applyFont="1" applyFill="1" applyBorder="1" applyAlignment="1">
      <alignment horizontal="left" vertical="center" wrapText="1"/>
    </xf>
    <xf numFmtId="0" fontId="57" fillId="22" borderId="6" xfId="50" applyNumberFormat="1" applyFont="1" applyFill="1" applyBorder="1" applyAlignment="1" applyProtection="1">
      <alignment horizontal="center" vertical="center" wrapText="1"/>
      <protection locked="0"/>
    </xf>
    <xf numFmtId="0" fontId="57" fillId="28" borderId="6" xfId="50" applyNumberFormat="1" applyFont="1" applyFill="1" applyBorder="1" applyAlignment="1" applyProtection="1">
      <alignment horizontal="center" vertical="center" wrapText="1"/>
      <protection locked="0"/>
    </xf>
    <xf numFmtId="0" fontId="58" fillId="24" borderId="3" xfId="49" applyNumberFormat="1" applyFont="1" applyFill="1" applyBorder="1" applyAlignment="1">
      <alignment horizontal="left" vertical="center" wrapText="1"/>
    </xf>
    <xf numFmtId="0" fontId="28" fillId="9" borderId="3" xfId="49" applyNumberFormat="1" applyFont="1" applyFill="1" applyBorder="1" applyAlignment="1">
      <alignment horizontal="left" vertical="center"/>
    </xf>
    <xf numFmtId="0" fontId="38" fillId="10" borderId="3" xfId="49" applyNumberFormat="1" applyFont="1" applyFill="1" applyBorder="1" applyAlignment="1" applyProtection="1">
      <alignment horizontal="left" vertical="center"/>
      <protection locked="0"/>
    </xf>
    <xf numFmtId="0" fontId="57" fillId="22" borderId="3" xfId="50" applyNumberFormat="1" applyFont="1" applyFill="1" applyBorder="1" applyAlignment="1" applyProtection="1">
      <alignment horizontal="center" vertical="center" wrapText="1"/>
      <protection locked="0"/>
    </xf>
    <xf numFmtId="0" fontId="77" fillId="20" borderId="3" xfId="50" applyNumberFormat="1" applyFont="1" applyFill="1" applyBorder="1" applyAlignment="1" applyProtection="1">
      <alignment horizontal="left" vertical="center" wrapText="1"/>
      <protection locked="0"/>
    </xf>
    <xf numFmtId="0" fontId="58" fillId="9" borderId="3" xfId="50" applyNumberFormat="1" applyFont="1" applyFill="1" applyBorder="1" applyAlignment="1" applyProtection="1">
      <alignment horizontal="left" vertical="center" wrapText="1"/>
      <protection locked="0"/>
    </xf>
    <xf numFmtId="0" fontId="20" fillId="10" borderId="3" xfId="50" applyNumberFormat="1" applyFont="1" applyFill="1" applyBorder="1" applyAlignment="1">
      <alignment horizontal="left" vertical="center" wrapText="1"/>
    </xf>
    <xf numFmtId="0" fontId="58" fillId="10" borderId="3" xfId="50" applyNumberFormat="1" applyFont="1" applyFill="1" applyBorder="1" applyAlignment="1">
      <alignment horizontal="left" vertical="center" wrapText="1"/>
    </xf>
    <xf numFmtId="0" fontId="58" fillId="10" borderId="3" xfId="73" applyNumberFormat="1" applyFont="1" applyFill="1" applyBorder="1" applyAlignment="1" applyProtection="1">
      <alignment horizontal="left" vertical="center" wrapText="1"/>
      <protection locked="0"/>
    </xf>
    <xf numFmtId="0" fontId="38" fillId="29" borderId="3" xfId="49" applyNumberFormat="1" applyFont="1" applyFill="1" applyBorder="1" applyAlignment="1" applyProtection="1">
      <alignment horizontal="left" vertical="center"/>
      <protection locked="0"/>
    </xf>
    <xf numFmtId="0" fontId="38" fillId="29" borderId="3" xfId="49" applyNumberFormat="1" applyFont="1" applyFill="1" applyBorder="1" applyAlignment="1">
      <alignment horizontal="left" vertical="center"/>
    </xf>
    <xf numFmtId="0" fontId="58" fillId="29" borderId="3" xfId="73" applyNumberFormat="1" applyFont="1" applyFill="1" applyBorder="1" applyAlignment="1">
      <alignment horizontal="left" vertical="center"/>
    </xf>
    <xf numFmtId="0" fontId="58" fillId="25" borderId="3" xfId="50" applyNumberFormat="1" applyFont="1" applyFill="1" applyBorder="1" applyAlignment="1" applyProtection="1">
      <alignment horizontal="left" vertical="center"/>
      <protection locked="0"/>
    </xf>
    <xf numFmtId="0" fontId="77" fillId="20" borderId="3" xfId="50" applyNumberFormat="1" applyFont="1" applyFill="1" applyBorder="1" applyAlignment="1" applyProtection="1">
      <alignment horizontal="left" vertical="center"/>
      <protection locked="0"/>
    </xf>
    <xf numFmtId="0" fontId="58" fillId="29" borderId="3" xfId="50" applyNumberFormat="1" applyFont="1" applyFill="1" applyBorder="1" applyAlignment="1" applyProtection="1">
      <alignment horizontal="left" vertical="center"/>
      <protection locked="0"/>
    </xf>
    <xf numFmtId="0" fontId="58" fillId="21" borderId="4" xfId="73" applyNumberFormat="1" applyFont="1" applyFill="1" applyBorder="1" applyAlignment="1">
      <alignment horizontal="center" vertical="center" wrapText="1"/>
    </xf>
    <xf numFmtId="0" fontId="58" fillId="29" borderId="4" xfId="49" applyNumberFormat="1" applyFont="1" applyFill="1" applyBorder="1" applyAlignment="1">
      <alignment horizontal="left" vertical="center"/>
    </xf>
    <xf numFmtId="0" fontId="58" fillId="25" borderId="4" xfId="49" applyNumberFormat="1" applyFont="1" applyFill="1" applyBorder="1" applyAlignment="1">
      <alignment horizontal="center" vertical="center"/>
    </xf>
    <xf numFmtId="0" fontId="58" fillId="29" borderId="3" xfId="49" applyNumberFormat="1" applyFont="1" applyFill="1" applyBorder="1" applyAlignment="1">
      <alignment horizontal="left" vertical="center"/>
    </xf>
    <xf numFmtId="0" fontId="58" fillId="10" borderId="3" xfId="49" applyNumberFormat="1" applyFont="1" applyFill="1" applyBorder="1" applyAlignment="1">
      <alignment horizontal="left" vertical="center"/>
    </xf>
    <xf numFmtId="0" fontId="58" fillId="29" borderId="3" xfId="55" applyNumberFormat="1" applyFont="1" applyFill="1" applyBorder="1" applyAlignment="1" applyProtection="1">
      <alignment horizontal="left" vertical="center" wrapText="1"/>
      <protection locked="0"/>
    </xf>
    <xf numFmtId="0" fontId="77" fillId="20" borderId="4" xfId="50" applyNumberFormat="1" applyFont="1" applyFill="1" applyBorder="1" applyAlignment="1" applyProtection="1">
      <alignment horizontal="left" vertical="center" wrapText="1"/>
      <protection locked="0"/>
    </xf>
    <xf numFmtId="0" fontId="57" fillId="9" borderId="4" xfId="50" applyNumberFormat="1" applyFont="1" applyFill="1" applyBorder="1" applyAlignment="1" applyProtection="1">
      <alignment horizontal="center" vertical="center" wrapText="1"/>
      <protection locked="0"/>
    </xf>
    <xf numFmtId="0" fontId="73" fillId="0" borderId="13" xfId="55" applyNumberFormat="1" applyFont="1" applyBorder="1" applyAlignment="1" applyProtection="1">
      <alignment horizontal="left" vertical="center" wrapText="1"/>
      <protection locked="0"/>
    </xf>
    <xf numFmtId="0" fontId="20" fillId="23" borderId="5" xfId="50" applyNumberFormat="1" applyFont="1" applyFill="1" applyBorder="1" applyAlignment="1">
      <alignment horizontal="left" vertical="center" wrapText="1"/>
    </xf>
    <xf numFmtId="0" fontId="38" fillId="23" borderId="5" xfId="49" applyNumberFormat="1" applyFont="1" applyFill="1" applyBorder="1" applyAlignment="1">
      <alignment horizontal="left" vertical="center"/>
    </xf>
    <xf numFmtId="0" fontId="58" fillId="21" borderId="5" xfId="73" applyNumberFormat="1" applyFont="1" applyFill="1" applyBorder="1" applyAlignment="1">
      <alignment horizontal="center" vertical="center" wrapText="1"/>
    </xf>
    <xf numFmtId="0" fontId="58" fillId="29" borderId="5" xfId="49" applyNumberFormat="1" applyFont="1" applyFill="1" applyBorder="1" applyAlignment="1">
      <alignment horizontal="left" vertical="center"/>
    </xf>
    <xf numFmtId="0" fontId="58" fillId="25" borderId="5" xfId="49" applyNumberFormat="1" applyFont="1" applyFill="1" applyBorder="1" applyAlignment="1">
      <alignment horizontal="center" vertical="center"/>
    </xf>
    <xf numFmtId="0" fontId="58" fillId="29" borderId="3" xfId="49" applyNumberFormat="1" applyFont="1" applyFill="1" applyBorder="1" applyAlignment="1" applyProtection="1">
      <alignment horizontal="left" vertical="center" wrapText="1"/>
      <protection locked="0"/>
    </xf>
    <xf numFmtId="0" fontId="58" fillId="9" borderId="3" xfId="50" applyNumberFormat="1" applyFont="1" applyFill="1" applyBorder="1" applyAlignment="1" applyProtection="1">
      <alignment horizontal="left" vertical="center"/>
      <protection locked="0"/>
    </xf>
    <xf numFmtId="0" fontId="58" fillId="25" borderId="5" xfId="50" applyNumberFormat="1" applyFont="1" applyFill="1" applyBorder="1" applyAlignment="1" applyProtection="1">
      <alignment horizontal="left" vertical="center" wrapText="1"/>
      <protection locked="0"/>
    </xf>
    <xf numFmtId="0" fontId="77" fillId="20" borderId="5" xfId="50" applyNumberFormat="1" applyFont="1" applyFill="1" applyBorder="1" applyAlignment="1" applyProtection="1">
      <alignment horizontal="left" vertical="center" wrapText="1"/>
      <protection locked="0"/>
    </xf>
    <xf numFmtId="0" fontId="57" fillId="9" borderId="5" xfId="50" applyNumberFormat="1" applyFont="1" applyFill="1" applyBorder="1" applyAlignment="1" applyProtection="1">
      <alignment horizontal="center" vertical="center" wrapText="1"/>
      <protection locked="0"/>
    </xf>
    <xf numFmtId="0" fontId="58" fillId="23" borderId="5" xfId="50" applyNumberFormat="1" applyFont="1" applyFill="1" applyBorder="1" applyAlignment="1" applyProtection="1">
      <alignment horizontal="left" vertical="center" wrapText="1"/>
      <protection locked="0"/>
    </xf>
    <xf numFmtId="0" fontId="24" fillId="29" borderId="3" xfId="50" applyNumberFormat="1" applyFont="1" applyFill="1" applyBorder="1" applyAlignment="1" applyProtection="1">
      <alignment horizontal="left" vertical="center" wrapText="1"/>
      <protection locked="0"/>
    </xf>
    <xf numFmtId="0" fontId="58" fillId="25" borderId="6" xfId="49" applyNumberFormat="1" applyFont="1" applyFill="1" applyBorder="1" applyAlignment="1">
      <alignment horizontal="center" vertical="center"/>
    </xf>
    <xf numFmtId="0" fontId="58" fillId="29" borderId="3" xfId="49" applyNumberFormat="1" applyFont="1" applyFill="1" applyBorder="1" applyAlignment="1">
      <alignment horizontal="left" vertical="center" wrapText="1"/>
    </xf>
    <xf numFmtId="0" fontId="24" fillId="23" borderId="3" xfId="55" applyNumberFormat="1" applyFont="1" applyFill="1" applyBorder="1" applyAlignment="1" applyProtection="1">
      <alignment horizontal="left" vertical="center" wrapText="1"/>
      <protection locked="0"/>
    </xf>
    <xf numFmtId="0" fontId="38" fillId="23" borderId="3" xfId="0" applyFont="1" applyFill="1" applyBorder="1" applyAlignment="1">
      <alignment horizontal="left" vertical="center" wrapText="1"/>
    </xf>
    <xf numFmtId="0" fontId="58" fillId="20" borderId="3" xfId="49" applyNumberFormat="1" applyFont="1" applyFill="1" applyBorder="1" applyAlignment="1">
      <alignment horizontal="center" vertical="center" wrapText="1"/>
    </xf>
    <xf numFmtId="0" fontId="20" fillId="23" borderId="3" xfId="50" applyNumberFormat="1" applyFont="1" applyFill="1" applyBorder="1" applyAlignment="1" applyProtection="1">
      <alignment horizontal="left" vertical="center" wrapText="1"/>
      <protection locked="0"/>
    </xf>
    <xf numFmtId="0" fontId="38" fillId="10" borderId="3" xfId="49" applyNumberFormat="1" applyFont="1" applyFill="1" applyBorder="1" applyAlignment="1" applyProtection="1">
      <alignment horizontal="left" vertical="center" wrapText="1"/>
      <protection locked="0"/>
    </xf>
    <xf numFmtId="0" fontId="38" fillId="10" borderId="3" xfId="55" applyNumberFormat="1" applyFont="1" applyFill="1" applyBorder="1" applyAlignment="1" applyProtection="1">
      <alignment horizontal="left" vertical="center" wrapText="1"/>
      <protection locked="0"/>
    </xf>
    <xf numFmtId="0" fontId="24" fillId="10" borderId="3" xfId="50" applyNumberFormat="1" applyFont="1" applyFill="1" applyBorder="1" applyAlignment="1" applyProtection="1">
      <alignment horizontal="left" vertical="center" wrapText="1"/>
      <protection locked="0"/>
    </xf>
    <xf numFmtId="0" fontId="58" fillId="10" borderId="3" xfId="50" applyNumberFormat="1" applyFont="1" applyFill="1" applyBorder="1" applyAlignment="1" applyProtection="1">
      <alignment horizontal="left" vertical="center" wrapText="1"/>
      <protection locked="0"/>
    </xf>
    <xf numFmtId="0" fontId="38" fillId="23" borderId="3" xfId="0" applyFont="1" applyFill="1" applyBorder="1" applyAlignment="1">
      <alignment horizontal="left" vertical="center"/>
    </xf>
    <xf numFmtId="0" fontId="58" fillId="26" borderId="4" xfId="50" applyNumberFormat="1" applyFont="1" applyFill="1" applyBorder="1" applyAlignment="1" applyProtection="1">
      <alignment horizontal="left" vertical="center" wrapText="1"/>
      <protection locked="0"/>
    </xf>
    <xf numFmtId="0" fontId="20" fillId="10" borderId="6" xfId="50" applyNumberFormat="1" applyFont="1" applyFill="1" applyBorder="1" applyAlignment="1">
      <alignment horizontal="left" vertical="center" wrapText="1"/>
    </xf>
    <xf numFmtId="0" fontId="38" fillId="10" borderId="6" xfId="49" applyNumberFormat="1" applyFont="1" applyFill="1" applyBorder="1" applyAlignment="1">
      <alignment horizontal="left" vertical="center" wrapText="1"/>
    </xf>
    <xf numFmtId="0" fontId="20" fillId="10" borderId="3" xfId="49" applyNumberFormat="1" applyFont="1" applyFill="1" applyBorder="1" applyAlignment="1">
      <alignment horizontal="left" vertical="center" wrapText="1"/>
    </xf>
    <xf numFmtId="0" fontId="77" fillId="20" borderId="6" xfId="50" applyNumberFormat="1" applyFont="1" applyFill="1" applyBorder="1" applyAlignment="1" applyProtection="1">
      <alignment horizontal="left" vertical="center" wrapText="1"/>
      <protection locked="0"/>
    </xf>
    <xf numFmtId="0" fontId="58" fillId="26" borderId="6" xfId="50" applyNumberFormat="1" applyFont="1" applyFill="1" applyBorder="1" applyAlignment="1" applyProtection="1">
      <alignment horizontal="left" vertical="center" wrapText="1"/>
      <protection locked="0"/>
    </xf>
    <xf numFmtId="0" fontId="58" fillId="23" borderId="6" xfId="50" applyNumberFormat="1" applyFont="1" applyFill="1" applyBorder="1" applyAlignment="1" applyProtection="1">
      <alignment horizontal="left" vertical="center" wrapText="1"/>
      <protection locked="0"/>
    </xf>
    <xf numFmtId="3" fontId="20" fillId="10" borderId="3" xfId="49" applyNumberFormat="1" applyFont="1" applyFill="1" applyBorder="1" applyAlignment="1">
      <alignment horizontal="left" vertical="center"/>
    </xf>
    <xf numFmtId="0" fontId="24" fillId="27" borderId="3" xfId="50" applyNumberFormat="1" applyFont="1" applyFill="1" applyBorder="1" applyAlignment="1" applyProtection="1">
      <alignment horizontal="left" vertical="center" wrapText="1"/>
      <protection locked="0"/>
    </xf>
    <xf numFmtId="0" fontId="24" fillId="9" borderId="3" xfId="50" applyNumberFormat="1" applyFont="1" applyFill="1" applyBorder="1" applyAlignment="1" applyProtection="1">
      <alignment horizontal="left" vertical="center" wrapText="1"/>
      <protection locked="0"/>
    </xf>
    <xf numFmtId="0" fontId="20" fillId="23" borderId="3" xfId="49" applyNumberFormat="1" applyFont="1" applyFill="1" applyBorder="1" applyAlignment="1">
      <alignment horizontal="left" vertical="center"/>
    </xf>
    <xf numFmtId="0" fontId="20" fillId="23" borderId="3" xfId="49" applyNumberFormat="1" applyFont="1" applyFill="1" applyBorder="1" applyAlignment="1">
      <alignment horizontal="left" vertical="center" wrapText="1"/>
    </xf>
    <xf numFmtId="0" fontId="24" fillId="20" borderId="3" xfId="49" applyNumberFormat="1" applyFont="1" applyFill="1" applyBorder="1" applyAlignment="1">
      <alignment horizontal="center" vertical="center" wrapText="1"/>
    </xf>
    <xf numFmtId="0" fontId="24" fillId="10" borderId="3" xfId="49" applyNumberFormat="1" applyFont="1" applyFill="1" applyBorder="1" applyAlignment="1">
      <alignment horizontal="left" vertical="center" wrapText="1"/>
    </xf>
    <xf numFmtId="0" fontId="24" fillId="10" borderId="3" xfId="49" applyNumberFormat="1" applyFont="1" applyFill="1" applyBorder="1" applyAlignment="1">
      <alignment horizontal="left" vertical="center"/>
    </xf>
    <xf numFmtId="0" fontId="20" fillId="10" borderId="3" xfId="49" applyNumberFormat="1" applyFont="1" applyFill="1" applyBorder="1" applyAlignment="1" applyProtection="1">
      <alignment horizontal="left" vertical="center"/>
      <protection locked="0"/>
    </xf>
    <xf numFmtId="0" fontId="20" fillId="10" borderId="4" xfId="50" applyNumberFormat="1" applyFont="1" applyFill="1" applyBorder="1" applyAlignment="1" applyProtection="1">
      <alignment horizontal="left" vertical="center" wrapText="1"/>
      <protection locked="0"/>
    </xf>
    <xf numFmtId="0" fontId="24" fillId="23" borderId="3" xfId="49" applyNumberFormat="1" applyFont="1" applyFill="1" applyBorder="1" applyAlignment="1">
      <alignment horizontal="left" vertical="center" wrapText="1"/>
    </xf>
    <xf numFmtId="0" fontId="24" fillId="23" borderId="3" xfId="49" applyNumberFormat="1" applyFont="1" applyFill="1" applyBorder="1" applyAlignment="1">
      <alignment horizontal="left" vertical="center"/>
    </xf>
    <xf numFmtId="0" fontId="24" fillId="20" borderId="3" xfId="50" applyNumberFormat="1" applyFont="1" applyFill="1" applyBorder="1" applyAlignment="1">
      <alignment horizontal="center" vertical="center" wrapText="1"/>
    </xf>
    <xf numFmtId="0" fontId="24" fillId="23" borderId="3" xfId="50" applyNumberFormat="1" applyFont="1" applyFill="1" applyBorder="1" applyAlignment="1">
      <alignment horizontal="left" vertical="center" wrapText="1"/>
    </xf>
    <xf numFmtId="178" fontId="20" fillId="23" borderId="3" xfId="50" applyNumberFormat="1" applyFont="1" applyFill="1" applyBorder="1" applyAlignment="1">
      <alignment horizontal="left" vertical="center" wrapText="1"/>
    </xf>
    <xf numFmtId="178" fontId="38" fillId="23" borderId="3" xfId="49" applyNumberFormat="1" applyFont="1" applyFill="1" applyBorder="1" applyAlignment="1">
      <alignment horizontal="left" vertical="center" wrapText="1"/>
    </xf>
    <xf numFmtId="178" fontId="58" fillId="20" borderId="3" xfId="49" applyNumberFormat="1" applyFont="1" applyFill="1" applyBorder="1" applyAlignment="1">
      <alignment horizontal="center" vertical="center" wrapText="1"/>
    </xf>
    <xf numFmtId="178" fontId="58" fillId="23" borderId="3" xfId="49" applyNumberFormat="1" applyFont="1" applyFill="1" applyBorder="1" applyAlignment="1">
      <alignment horizontal="left" vertical="center" wrapText="1"/>
    </xf>
    <xf numFmtId="49" fontId="58" fillId="23" borderId="3" xfId="49" applyNumberFormat="1" applyFont="1" applyFill="1" applyBorder="1" applyAlignment="1">
      <alignment horizontal="left" vertical="center"/>
    </xf>
    <xf numFmtId="49" fontId="38" fillId="23" borderId="3" xfId="49" applyNumberFormat="1" applyFont="1" applyFill="1" applyBorder="1" applyAlignment="1">
      <alignment horizontal="left" vertical="center"/>
    </xf>
    <xf numFmtId="178" fontId="38" fillId="23" borderId="3" xfId="49" applyNumberFormat="1" applyFont="1" applyFill="1" applyBorder="1" applyAlignment="1">
      <alignment horizontal="left" vertical="center"/>
    </xf>
    <xf numFmtId="178" fontId="24" fillId="23" borderId="3" xfId="50" applyNumberFormat="1" applyFont="1" applyFill="1" applyBorder="1" applyAlignment="1">
      <alignment horizontal="left" vertical="center" wrapText="1"/>
    </xf>
    <xf numFmtId="178" fontId="38" fillId="23" borderId="3" xfId="50" applyNumberFormat="1" applyFont="1" applyFill="1" applyBorder="1" applyAlignment="1" applyProtection="1">
      <alignment horizontal="left" vertical="center" wrapText="1"/>
      <protection locked="0"/>
    </xf>
    <xf numFmtId="178" fontId="39" fillId="23" borderId="3" xfId="55" applyNumberFormat="1" applyFont="1" applyFill="1" applyBorder="1" applyAlignment="1" applyProtection="1">
      <alignment horizontal="left" vertical="center" wrapText="1"/>
      <protection locked="0"/>
    </xf>
    <xf numFmtId="178" fontId="73" fillId="23" borderId="3" xfId="55" applyNumberFormat="1" applyFont="1" applyFill="1" applyBorder="1" applyAlignment="1" applyProtection="1">
      <alignment horizontal="left" vertical="center"/>
      <protection locked="0"/>
    </xf>
    <xf numFmtId="49" fontId="20" fillId="23" borderId="3" xfId="49" applyNumberFormat="1" applyFont="1" applyFill="1" applyBorder="1" applyAlignment="1" applyProtection="1">
      <alignment horizontal="left" vertical="center"/>
      <protection locked="0"/>
    </xf>
    <xf numFmtId="0" fontId="58" fillId="23" borderId="3" xfId="50" applyNumberFormat="1" applyFont="1" applyFill="1" applyBorder="1" applyAlignment="1" applyProtection="1">
      <alignment vertical="center" wrapText="1"/>
      <protection locked="0"/>
    </xf>
    <xf numFmtId="0" fontId="39" fillId="23" borderId="3" xfId="55" applyNumberFormat="1" applyFont="1" applyFill="1" applyBorder="1" applyAlignment="1" applyProtection="1">
      <alignment horizontal="left" vertical="center" wrapText="1"/>
      <protection locked="0"/>
    </xf>
    <xf numFmtId="49" fontId="20" fillId="23" borderId="4" xfId="73" applyNumberFormat="1" applyFont="1" applyFill="1" applyBorder="1" applyAlignment="1">
      <alignment horizontal="left" vertical="center" wrapText="1"/>
    </xf>
    <xf numFmtId="49" fontId="24" fillId="23" borderId="4" xfId="50" applyNumberFormat="1" applyFont="1" applyFill="1" applyBorder="1" applyAlignment="1">
      <alignment horizontal="left" vertical="center" wrapText="1"/>
    </xf>
    <xf numFmtId="49" fontId="20" fillId="23" borderId="3" xfId="49" applyNumberFormat="1" applyFont="1" applyFill="1" applyBorder="1" applyAlignment="1">
      <alignment horizontal="left" vertical="center"/>
    </xf>
    <xf numFmtId="49" fontId="20" fillId="23" borderId="3" xfId="50" applyNumberFormat="1" applyFont="1" applyFill="1" applyBorder="1" applyAlignment="1" applyProtection="1">
      <alignment horizontal="left" vertical="center" wrapText="1"/>
      <protection locked="0"/>
    </xf>
    <xf numFmtId="49" fontId="24" fillId="23" borderId="4" xfId="50" applyNumberFormat="1" applyFont="1" applyFill="1" applyBorder="1" applyAlignment="1" applyProtection="1">
      <alignment vertical="center" wrapText="1"/>
      <protection locked="0"/>
    </xf>
    <xf numFmtId="0" fontId="20" fillId="23" borderId="4" xfId="50" applyNumberFormat="1" applyFont="1" applyFill="1" applyBorder="1" applyAlignment="1" applyProtection="1">
      <alignment horizontal="left" vertical="center" wrapText="1"/>
      <protection locked="0"/>
    </xf>
    <xf numFmtId="0" fontId="20" fillId="23" borderId="4" xfId="55" applyNumberFormat="1" applyFont="1" applyFill="1" applyBorder="1" applyAlignment="1" applyProtection="1">
      <alignment horizontal="left" vertical="center" wrapText="1"/>
      <protection locked="0"/>
    </xf>
    <xf numFmtId="0" fontId="38" fillId="23" borderId="6" xfId="49" applyNumberFormat="1" applyFont="1" applyFill="1" applyBorder="1" applyAlignment="1">
      <alignment horizontal="left" vertical="center"/>
    </xf>
    <xf numFmtId="49" fontId="20" fillId="23" borderId="6" xfId="73" applyNumberFormat="1" applyFont="1" applyFill="1" applyBorder="1" applyAlignment="1">
      <alignment horizontal="left" vertical="center" wrapText="1"/>
    </xf>
    <xf numFmtId="0" fontId="38" fillId="23" borderId="6" xfId="49" applyNumberFormat="1" applyFont="1" applyFill="1" applyBorder="1" applyAlignment="1">
      <alignment horizontal="left" vertical="center" wrapText="1"/>
    </xf>
    <xf numFmtId="49" fontId="24" fillId="23" borderId="6" xfId="50" applyNumberFormat="1" applyFont="1" applyFill="1" applyBorder="1" applyAlignment="1">
      <alignment horizontal="left" vertical="center" wrapText="1"/>
    </xf>
    <xf numFmtId="49" fontId="20" fillId="23" borderId="3" xfId="49" applyNumberFormat="1" applyFont="1" applyFill="1" applyBorder="1" applyAlignment="1">
      <alignment horizontal="left" vertical="center" wrapText="1"/>
    </xf>
    <xf numFmtId="49" fontId="24" fillId="23" borderId="6" xfId="50" applyNumberFormat="1" applyFont="1" applyFill="1" applyBorder="1" applyAlignment="1" applyProtection="1">
      <alignment vertical="center" wrapText="1"/>
      <protection locked="0"/>
    </xf>
    <xf numFmtId="0" fontId="20" fillId="23" borderId="6" xfId="50" applyNumberFormat="1" applyFont="1" applyFill="1" applyBorder="1" applyAlignment="1" applyProtection="1">
      <alignment horizontal="left" vertical="center" wrapText="1"/>
      <protection locked="0"/>
    </xf>
    <xf numFmtId="0" fontId="20" fillId="23" borderId="6" xfId="55" applyNumberFormat="1" applyFont="1" applyFill="1" applyBorder="1" applyAlignment="1" applyProtection="1">
      <alignment horizontal="left" vertical="center"/>
      <protection locked="0"/>
    </xf>
    <xf numFmtId="0" fontId="73" fillId="9" borderId="3" xfId="55" applyNumberFormat="1" applyFont="1" applyFill="1" applyBorder="1" applyAlignment="1" applyProtection="1">
      <alignment horizontal="left" vertical="center"/>
      <protection locked="0"/>
    </xf>
    <xf numFmtId="0" fontId="79" fillId="9" borderId="3" xfId="0" applyFont="1" applyFill="1" applyBorder="1" applyAlignment="1">
      <alignment horizontal="left" vertical="center"/>
    </xf>
    <xf numFmtId="0" fontId="79" fillId="9" borderId="3" xfId="0" applyFont="1" applyFill="1" applyBorder="1" applyAlignment="1">
      <alignment horizontal="left" vertical="center" wrapText="1"/>
    </xf>
    <xf numFmtId="0" fontId="80" fillId="9" borderId="3" xfId="0" applyFont="1" applyFill="1" applyBorder="1" applyAlignment="1">
      <alignment horizontal="left" vertical="center" wrapText="1"/>
    </xf>
    <xf numFmtId="177" fontId="5" fillId="0" borderId="0" xfId="72" applyAlignment="1"/>
    <xf numFmtId="177" fontId="81" fillId="0" borderId="0" xfId="67" applyFont="1" applyAlignment="1"/>
    <xf numFmtId="177" fontId="82" fillId="30" borderId="0" xfId="72" applyFont="1" applyFill="1" applyAlignment="1"/>
    <xf numFmtId="177" fontId="82" fillId="31" borderId="0" xfId="72" applyFont="1" applyFill="1" applyAlignment="1"/>
    <xf numFmtId="177" fontId="83" fillId="0" borderId="0" xfId="72" applyFont="1" applyAlignment="1">
      <alignment horizontal="left" wrapText="1"/>
    </xf>
    <xf numFmtId="177" fontId="82" fillId="0" borderId="0" xfId="72" applyFont="1" applyAlignment="1"/>
    <xf numFmtId="0" fontId="84" fillId="0" borderId="0" xfId="69">
      <alignment vertical="center"/>
    </xf>
    <xf numFmtId="0" fontId="85" fillId="0" borderId="0" xfId="62" applyFont="1" applyFill="1" applyBorder="1" applyAlignment="1">
      <alignment horizontal="left" vertical="center" wrapText="1"/>
    </xf>
    <xf numFmtId="0" fontId="86" fillId="0" borderId="0" xfId="62" applyFont="1" applyFill="1" applyBorder="1" applyAlignment="1">
      <alignment horizontal="left" vertical="center" wrapText="1"/>
    </xf>
    <xf numFmtId="177" fontId="87" fillId="0" borderId="0" xfId="72" applyFont="1" applyAlignment="1">
      <alignment horizontal="left" vertical="center" wrapText="1"/>
    </xf>
    <xf numFmtId="177" fontId="83" fillId="0" borderId="0" xfId="72" applyFont="1" applyAlignment="1">
      <alignment horizontal="left" vertical="center" wrapText="1"/>
    </xf>
    <xf numFmtId="0" fontId="88" fillId="0" borderId="0" xfId="62" applyFont="1" applyFill="1" applyBorder="1" applyAlignment="1">
      <alignment horizontal="center" vertical="center" wrapText="1"/>
    </xf>
    <xf numFmtId="177" fontId="81" fillId="0" borderId="0" xfId="67" applyFont="1" applyBorder="1" applyAlignment="1">
      <alignment wrapText="1"/>
    </xf>
    <xf numFmtId="177" fontId="89" fillId="30" borderId="32" xfId="72" applyFont="1" applyFill="1" applyBorder="1" applyAlignment="1">
      <alignment horizontal="center" vertical="center" wrapText="1"/>
    </xf>
    <xf numFmtId="177" fontId="89" fillId="30" borderId="33" xfId="72" applyFont="1" applyFill="1" applyBorder="1" applyAlignment="1">
      <alignment horizontal="center" vertical="center" wrapText="1"/>
    </xf>
    <xf numFmtId="177" fontId="89" fillId="30" borderId="34" xfId="72" applyFont="1" applyFill="1" applyBorder="1" applyAlignment="1">
      <alignment horizontal="center" vertical="center" wrapText="1"/>
    </xf>
    <xf numFmtId="177" fontId="89" fillId="30" borderId="35" xfId="72" applyFont="1" applyFill="1" applyBorder="1" applyAlignment="1">
      <alignment horizontal="center" vertical="center" wrapText="1"/>
    </xf>
    <xf numFmtId="177" fontId="89" fillId="30" borderId="36" xfId="72" applyFont="1" applyFill="1" applyBorder="1" applyAlignment="1">
      <alignment horizontal="center" vertical="center" wrapText="1"/>
    </xf>
    <xf numFmtId="177" fontId="89" fillId="30" borderId="37" xfId="72" applyFont="1" applyFill="1" applyBorder="1" applyAlignment="1">
      <alignment horizontal="center" vertical="center" wrapText="1"/>
    </xf>
    <xf numFmtId="177" fontId="89" fillId="30" borderId="18" xfId="72" applyFont="1" applyFill="1" applyBorder="1" applyAlignment="1">
      <alignment horizontal="center" vertical="center" wrapText="1"/>
    </xf>
    <xf numFmtId="177" fontId="82" fillId="6" borderId="0" xfId="72" applyFont="1" applyFill="1" applyAlignment="1"/>
    <xf numFmtId="177" fontId="89" fillId="30" borderId="38" xfId="72" applyFont="1" applyFill="1" applyBorder="1" applyAlignment="1">
      <alignment horizontal="center" vertical="center" wrapText="1"/>
    </xf>
    <xf numFmtId="177" fontId="89" fillId="30" borderId="39" xfId="72" applyFont="1" applyFill="1" applyBorder="1" applyAlignment="1">
      <alignment horizontal="center" vertical="center" wrapText="1"/>
    </xf>
    <xf numFmtId="177" fontId="89" fillId="30" borderId="40" xfId="72" applyFont="1" applyFill="1" applyBorder="1" applyAlignment="1">
      <alignment horizontal="center" vertical="center" wrapText="1"/>
    </xf>
    <xf numFmtId="177" fontId="89" fillId="30" borderId="28" xfId="72" applyFont="1" applyFill="1" applyBorder="1" applyAlignment="1">
      <alignment horizontal="center" vertical="center" wrapText="1"/>
    </xf>
    <xf numFmtId="177" fontId="87" fillId="30" borderId="29" xfId="72" applyFont="1" applyFill="1" applyBorder="1" applyAlignment="1">
      <alignment horizontal="center" vertical="center" wrapText="1"/>
    </xf>
    <xf numFmtId="177" fontId="18" fillId="0" borderId="23" xfId="72" applyFont="1" applyFill="1" applyBorder="1" applyAlignment="1">
      <alignment horizontal="center" vertical="center" wrapText="1"/>
    </xf>
    <xf numFmtId="177" fontId="18" fillId="0" borderId="5" xfId="72" applyFont="1" applyFill="1" applyBorder="1" applyAlignment="1">
      <alignment horizontal="left" vertical="center" wrapText="1"/>
    </xf>
    <xf numFmtId="177" fontId="18" fillId="0" borderId="6" xfId="72" applyFont="1" applyFill="1" applyBorder="1" applyAlignment="1">
      <alignment horizontal="left" vertical="center" wrapText="1"/>
    </xf>
    <xf numFmtId="177" fontId="71" fillId="0" borderId="6" xfId="72" applyFont="1" applyFill="1" applyBorder="1" applyAlignment="1" applyProtection="1">
      <alignment horizontal="center" vertical="center" wrapText="1"/>
      <protection locked="0"/>
    </xf>
    <xf numFmtId="177" fontId="18" fillId="0" borderId="26" xfId="72" applyFont="1" applyFill="1" applyBorder="1" applyAlignment="1">
      <alignment horizontal="center" vertical="center" wrapText="1"/>
    </xf>
    <xf numFmtId="177" fontId="73" fillId="0" borderId="5" xfId="72" applyFont="1" applyFill="1" applyBorder="1" applyAlignment="1">
      <alignment horizontal="left" vertical="center" wrapText="1"/>
    </xf>
    <xf numFmtId="177" fontId="18" fillId="0" borderId="3" xfId="72" applyFont="1" applyFill="1" applyBorder="1" applyAlignment="1">
      <alignment horizontal="left" vertical="center" wrapText="1"/>
    </xf>
    <xf numFmtId="177" fontId="71" fillId="0" borderId="3" xfId="72" applyFont="1" applyFill="1" applyBorder="1" applyAlignment="1" applyProtection="1">
      <alignment horizontal="center" vertical="center" wrapText="1"/>
      <protection locked="0"/>
    </xf>
    <xf numFmtId="177" fontId="18" fillId="0" borderId="20" xfId="72" applyFont="1" applyFill="1" applyBorder="1" applyAlignment="1">
      <alignment horizontal="center" vertical="center" wrapText="1"/>
    </xf>
    <xf numFmtId="177" fontId="18" fillId="0" borderId="4" xfId="72" applyFont="1" applyFill="1" applyBorder="1" applyAlignment="1">
      <alignment horizontal="left" vertical="center" wrapText="1"/>
    </xf>
    <xf numFmtId="177" fontId="71" fillId="0" borderId="4" xfId="72" applyFont="1" applyFill="1" applyBorder="1" applyAlignment="1" applyProtection="1">
      <alignment horizontal="center" vertical="center" wrapText="1"/>
      <protection locked="0"/>
    </xf>
    <xf numFmtId="177" fontId="18" fillId="0" borderId="22" xfId="72" applyFont="1" applyFill="1" applyBorder="1" applyAlignment="1">
      <alignment horizontal="center" vertical="center" wrapText="1"/>
    </xf>
    <xf numFmtId="177" fontId="18" fillId="0" borderId="41" xfId="72" applyFont="1" applyBorder="1" applyAlignment="1">
      <alignment horizontal="left" vertical="center" wrapText="1"/>
    </xf>
    <xf numFmtId="177" fontId="18" fillId="0" borderId="42" xfId="72" applyFont="1" applyBorder="1" applyAlignment="1">
      <alignment horizontal="left" vertical="center" wrapText="1"/>
    </xf>
    <xf numFmtId="177" fontId="18" fillId="0" borderId="43" xfId="72" applyFont="1" applyBorder="1" applyAlignment="1">
      <alignment horizontal="left" vertical="center" wrapText="1"/>
    </xf>
    <xf numFmtId="49" fontId="20" fillId="0" borderId="3" xfId="65" applyNumberFormat="1" applyFont="1" applyBorder="1" applyAlignment="1" applyProtection="1">
      <alignment vertical="center"/>
      <protection locked="0"/>
    </xf>
    <xf numFmtId="49" fontId="20" fillId="0" borderId="0" xfId="65" applyNumberFormat="1" applyFont="1" applyAlignment="1">
      <alignment vertical="center"/>
    </xf>
    <xf numFmtId="49" fontId="20" fillId="0" borderId="0" xfId="65" applyNumberFormat="1" applyFont="1" applyAlignment="1">
      <alignment vertical="top"/>
    </xf>
    <xf numFmtId="49" fontId="90" fillId="0" borderId="0" xfId="65" applyNumberFormat="1" applyFont="1" applyAlignment="1" applyProtection="1">
      <alignment vertical="center"/>
      <protection locked="0"/>
    </xf>
    <xf numFmtId="49" fontId="38" fillId="0" borderId="0" xfId="65" applyNumberFormat="1" applyFont="1" applyAlignment="1" applyProtection="1">
      <alignment vertical="center"/>
      <protection locked="0"/>
    </xf>
    <xf numFmtId="49" fontId="32" fillId="0" borderId="0" xfId="65" applyNumberFormat="1" applyFont="1" applyAlignment="1" applyProtection="1">
      <alignment vertical="center"/>
      <protection locked="0"/>
    </xf>
    <xf numFmtId="49" fontId="91" fillId="0" borderId="0" xfId="65" applyNumberFormat="1" applyFont="1" applyAlignment="1" applyProtection="1">
      <alignment vertical="center"/>
      <protection locked="0"/>
    </xf>
    <xf numFmtId="49" fontId="20" fillId="0" borderId="0" xfId="65" applyNumberFormat="1" applyFont="1" applyAlignment="1" applyProtection="1">
      <alignment vertical="center"/>
      <protection locked="0"/>
    </xf>
    <xf numFmtId="49" fontId="19" fillId="0" borderId="0" xfId="65" applyNumberFormat="1" applyFont="1" applyAlignment="1" applyProtection="1">
      <alignment vertical="center"/>
      <protection locked="0"/>
    </xf>
    <xf numFmtId="49" fontId="20" fillId="0" borderId="0" xfId="65" applyNumberFormat="1" applyFont="1" applyAlignment="1" applyProtection="1">
      <alignment vertical="center" wrapText="1"/>
      <protection locked="0"/>
    </xf>
    <xf numFmtId="49" fontId="25" fillId="0" borderId="0" xfId="65" applyNumberFormat="1" applyFont="1" applyFill="1" applyBorder="1" applyAlignment="1" applyProtection="1">
      <alignment horizontal="left" vertical="center" wrapText="1"/>
      <protection locked="0"/>
    </xf>
    <xf numFmtId="49" fontId="25" fillId="0" borderId="3" xfId="65" applyNumberFormat="1" applyFont="1" applyFill="1" applyBorder="1" applyAlignment="1" applyProtection="1">
      <alignment horizontal="left" vertical="center"/>
      <protection locked="0"/>
    </xf>
    <xf numFmtId="49" fontId="25" fillId="9" borderId="3" xfId="65" applyNumberFormat="1" applyFont="1" applyFill="1" applyBorder="1" applyAlignment="1" applyProtection="1">
      <alignment horizontal="center" vertical="center" wrapText="1"/>
      <protection locked="0"/>
    </xf>
    <xf numFmtId="49" fontId="25" fillId="0" borderId="8" xfId="65" applyNumberFormat="1" applyFont="1" applyFill="1" applyBorder="1" applyAlignment="1" applyProtection="1">
      <alignment horizontal="left" vertical="center" wrapText="1"/>
      <protection locked="0"/>
    </xf>
    <xf numFmtId="49" fontId="19" fillId="11" borderId="3" xfId="65" applyNumberFormat="1" applyFont="1" applyFill="1" applyBorder="1" applyAlignment="1">
      <alignment horizontal="left" vertical="center" wrapText="1"/>
    </xf>
    <xf numFmtId="49" fontId="19" fillId="11" borderId="3" xfId="65" applyNumberFormat="1" applyFont="1" applyFill="1" applyBorder="1" applyAlignment="1">
      <alignment horizontal="left" vertical="center"/>
    </xf>
    <xf numFmtId="49" fontId="19" fillId="11" borderId="6" xfId="54" applyNumberFormat="1" applyFont="1" applyFill="1" applyBorder="1" applyAlignment="1">
      <alignment vertical="center" wrapText="1"/>
    </xf>
    <xf numFmtId="0" fontId="19" fillId="14" borderId="3" xfId="54" applyNumberFormat="1" applyFont="1" applyFill="1" applyBorder="1" applyAlignment="1">
      <alignment vertical="top" wrapText="1"/>
    </xf>
    <xf numFmtId="0" fontId="56" fillId="14" borderId="3" xfId="54" applyNumberFormat="1" applyFont="1" applyFill="1" applyBorder="1" applyAlignment="1">
      <alignment vertical="top" wrapText="1"/>
    </xf>
    <xf numFmtId="0" fontId="19" fillId="14" borderId="3" xfId="54" applyNumberFormat="1" applyFont="1" applyFill="1" applyBorder="1" applyAlignment="1">
      <alignment horizontal="left" vertical="center" wrapText="1"/>
    </xf>
    <xf numFmtId="0" fontId="19" fillId="14" borderId="3" xfId="54" applyNumberFormat="1" applyFont="1" applyFill="1" applyBorder="1" applyAlignment="1">
      <alignment horizontal="left" vertical="top" wrapText="1"/>
    </xf>
    <xf numFmtId="49" fontId="20" fillId="10" borderId="3" xfId="65" applyNumberFormat="1" applyFont="1" applyFill="1" applyBorder="1" applyAlignment="1" applyProtection="1">
      <alignment vertical="center"/>
      <protection locked="0"/>
    </xf>
    <xf numFmtId="49" fontId="20" fillId="10" borderId="3" xfId="65" applyNumberFormat="1" applyFont="1" applyFill="1" applyBorder="1" applyAlignment="1" applyProtection="1">
      <alignment vertical="center" wrapText="1"/>
      <protection locked="0"/>
    </xf>
    <xf numFmtId="49" fontId="38" fillId="10" borderId="3" xfId="65" applyNumberFormat="1" applyFont="1" applyFill="1" applyBorder="1" applyAlignment="1" applyProtection="1">
      <alignment vertical="center" wrapText="1"/>
      <protection locked="0"/>
    </xf>
    <xf numFmtId="49" fontId="78" fillId="9" borderId="3" xfId="65" applyNumberFormat="1" applyFont="1" applyFill="1" applyBorder="1" applyAlignment="1" applyProtection="1">
      <alignment vertical="center" wrapText="1"/>
      <protection locked="0"/>
    </xf>
    <xf numFmtId="49" fontId="24" fillId="10" borderId="3" xfId="65" applyNumberFormat="1" applyFont="1" applyFill="1" applyBorder="1" applyAlignment="1" applyProtection="1">
      <alignment vertical="center"/>
      <protection locked="0"/>
    </xf>
    <xf numFmtId="49" fontId="78" fillId="20" borderId="3" xfId="65" applyNumberFormat="1" applyFont="1" applyFill="1" applyBorder="1" applyAlignment="1" applyProtection="1">
      <alignment horizontal="center" vertical="center"/>
      <protection locked="0"/>
    </xf>
    <xf numFmtId="49" fontId="24" fillId="10" borderId="3" xfId="65" applyNumberFormat="1" applyFont="1" applyFill="1" applyBorder="1" applyAlignment="1" applyProtection="1">
      <alignment vertical="center" wrapText="1"/>
      <protection locked="0"/>
    </xf>
    <xf numFmtId="49" fontId="24" fillId="9" borderId="3" xfId="65" applyNumberFormat="1" applyFont="1" applyFill="1" applyBorder="1" applyAlignment="1" applyProtection="1">
      <alignment vertical="center" wrapText="1"/>
      <protection locked="0"/>
    </xf>
    <xf numFmtId="49" fontId="28" fillId="9" borderId="3" xfId="65" applyNumberFormat="1" applyFont="1" applyFill="1" applyBorder="1" applyAlignment="1" applyProtection="1">
      <alignment horizontal="center" vertical="center"/>
      <protection locked="0"/>
    </xf>
    <xf numFmtId="49" fontId="24" fillId="26" borderId="3" xfId="65" applyNumberFormat="1" applyFont="1" applyFill="1" applyBorder="1" applyAlignment="1" applyProtection="1">
      <alignment horizontal="center" vertical="center"/>
      <protection locked="0"/>
    </xf>
    <xf numFmtId="49" fontId="28" fillId="9" borderId="3" xfId="65" applyNumberFormat="1" applyFont="1" applyFill="1" applyBorder="1" applyAlignment="1" applyProtection="1">
      <alignment vertical="center" wrapText="1"/>
      <protection locked="0"/>
    </xf>
    <xf numFmtId="49" fontId="24" fillId="9" borderId="3" xfId="65" applyNumberFormat="1" applyFont="1" applyFill="1" applyBorder="1" applyAlignment="1" applyProtection="1">
      <alignment vertical="top" wrapText="1"/>
      <protection locked="0"/>
    </xf>
    <xf numFmtId="49" fontId="60" fillId="10" borderId="3" xfId="65" applyNumberFormat="1" applyFont="1" applyFill="1" applyBorder="1" applyAlignment="1" applyProtection="1">
      <alignment vertical="center"/>
      <protection locked="0"/>
    </xf>
    <xf numFmtId="49" fontId="60" fillId="10" borderId="3" xfId="65" applyNumberFormat="1" applyFont="1" applyFill="1" applyBorder="1" applyAlignment="1" applyProtection="1">
      <alignment vertical="center" wrapText="1"/>
      <protection locked="0"/>
    </xf>
    <xf numFmtId="49" fontId="32" fillId="10" borderId="3" xfId="65" applyNumberFormat="1" applyFont="1" applyFill="1" applyBorder="1" applyAlignment="1" applyProtection="1">
      <alignment vertical="center" wrapText="1"/>
      <protection locked="0"/>
    </xf>
    <xf numFmtId="49" fontId="31" fillId="9" borderId="3" xfId="65" applyNumberFormat="1" applyFont="1" applyFill="1" applyBorder="1" applyAlignment="1" applyProtection="1">
      <alignment horizontal="center" vertical="center"/>
      <protection locked="0"/>
    </xf>
    <xf numFmtId="49" fontId="31" fillId="9" borderId="3" xfId="65" applyNumberFormat="1" applyFont="1" applyFill="1" applyBorder="1" applyAlignment="1" applyProtection="1">
      <alignment vertical="center" wrapText="1"/>
      <protection locked="0"/>
    </xf>
    <xf numFmtId="49" fontId="78" fillId="26" borderId="3" xfId="65" applyNumberFormat="1" applyFont="1" applyFill="1" applyBorder="1" applyAlignment="1" applyProtection="1">
      <alignment horizontal="center" vertical="center"/>
      <protection locked="0"/>
    </xf>
    <xf numFmtId="49" fontId="92" fillId="22" borderId="3" xfId="65" applyNumberFormat="1" applyFont="1" applyFill="1" applyBorder="1" applyAlignment="1" applyProtection="1">
      <alignment horizontal="center" vertical="center"/>
      <protection locked="0"/>
    </xf>
    <xf numFmtId="49" fontId="78" fillId="10" borderId="3" xfId="65" applyNumberFormat="1" applyFont="1" applyFill="1" applyBorder="1" applyAlignment="1" applyProtection="1">
      <alignment vertical="center" wrapText="1"/>
      <protection locked="0"/>
    </xf>
    <xf numFmtId="49" fontId="24" fillId="10" borderId="3" xfId="65" applyNumberFormat="1" applyFont="1" applyFill="1" applyBorder="1" applyAlignment="1" applyProtection="1">
      <alignment vertical="top" wrapText="1"/>
      <protection locked="0"/>
    </xf>
    <xf numFmtId="49" fontId="30" fillId="9" borderId="3" xfId="65" applyNumberFormat="1" applyFont="1" applyFill="1" applyBorder="1" applyAlignment="1" applyProtection="1">
      <alignment horizontal="center" vertical="center"/>
      <protection locked="0"/>
    </xf>
    <xf numFmtId="49" fontId="24" fillId="9" borderId="3" xfId="65" applyNumberFormat="1" applyFont="1" applyFill="1" applyBorder="1" applyAlignment="1" applyProtection="1">
      <alignment horizontal="center" vertical="center"/>
      <protection locked="0"/>
    </xf>
    <xf numFmtId="49" fontId="24" fillId="26" borderId="3" xfId="65" applyNumberFormat="1" applyFont="1" applyFill="1" applyBorder="1" applyAlignment="1" applyProtection="1">
      <alignment vertical="center" wrapText="1"/>
      <protection locked="0"/>
    </xf>
    <xf numFmtId="49" fontId="28" fillId="10" borderId="3" xfId="65" applyNumberFormat="1" applyFont="1" applyFill="1" applyBorder="1" applyAlignment="1" applyProtection="1">
      <alignment vertical="center" wrapText="1"/>
      <protection locked="0"/>
    </xf>
    <xf numFmtId="49" fontId="24" fillId="10" borderId="3" xfId="65" applyNumberFormat="1" applyFont="1" applyFill="1" applyBorder="1" applyAlignment="1" applyProtection="1">
      <alignment horizontal="center" vertical="center"/>
      <protection locked="0"/>
    </xf>
    <xf numFmtId="0" fontId="20" fillId="0" borderId="0" xfId="65" applyFont="1" applyProtection="1">
      <protection locked="0"/>
    </xf>
    <xf numFmtId="0" fontId="60" fillId="0" borderId="0" xfId="65" applyFont="1" applyProtection="1">
      <protection locked="0"/>
    </xf>
    <xf numFmtId="49" fontId="25" fillId="0" borderId="13" xfId="65" applyNumberFormat="1" applyFont="1" applyFill="1" applyBorder="1" applyAlignment="1" applyProtection="1">
      <alignment horizontal="left" vertical="center" wrapText="1"/>
      <protection locked="0"/>
    </xf>
    <xf numFmtId="49" fontId="25" fillId="0" borderId="31" xfId="65" applyNumberFormat="1" applyFont="1" applyFill="1" applyBorder="1" applyAlignment="1" applyProtection="1">
      <alignment horizontal="left" vertical="center" wrapText="1"/>
      <protection locked="0"/>
    </xf>
    <xf numFmtId="49" fontId="19" fillId="11" borderId="7" xfId="65" applyNumberFormat="1" applyFont="1" applyFill="1" applyBorder="1" applyAlignment="1">
      <alignment horizontal="left" vertical="center" wrapText="1"/>
    </xf>
    <xf numFmtId="49" fontId="19" fillId="11" borderId="9" xfId="65" applyNumberFormat="1" applyFont="1" applyFill="1" applyBorder="1" applyAlignment="1">
      <alignment horizontal="left" vertical="center"/>
    </xf>
    <xf numFmtId="49" fontId="19" fillId="11" borderId="10" xfId="65" applyNumberFormat="1" applyFont="1" applyFill="1" applyBorder="1" applyAlignment="1">
      <alignment horizontal="left" vertical="center"/>
    </xf>
    <xf numFmtId="49" fontId="24" fillId="10" borderId="4" xfId="65" applyNumberFormat="1" applyFont="1" applyFill="1" applyBorder="1" applyAlignment="1" applyProtection="1">
      <alignment vertical="center"/>
      <protection locked="0"/>
    </xf>
    <xf numFmtId="49" fontId="20" fillId="10" borderId="4" xfId="65" applyNumberFormat="1" applyFont="1" applyFill="1" applyBorder="1" applyAlignment="1" applyProtection="1">
      <alignment vertical="center" wrapText="1"/>
      <protection locked="0"/>
    </xf>
    <xf numFmtId="49" fontId="24" fillId="10" borderId="5" xfId="65" applyNumberFormat="1" applyFont="1" applyFill="1" applyBorder="1" applyAlignment="1" applyProtection="1">
      <alignment vertical="center"/>
      <protection locked="0"/>
    </xf>
    <xf numFmtId="49" fontId="20" fillId="10" borderId="5" xfId="65" applyNumberFormat="1" applyFont="1" applyFill="1" applyBorder="1" applyAlignment="1" applyProtection="1">
      <alignment vertical="center" wrapText="1"/>
      <protection locked="0"/>
    </xf>
    <xf numFmtId="49" fontId="24" fillId="10" borderId="6" xfId="65" applyNumberFormat="1" applyFont="1" applyFill="1" applyBorder="1" applyAlignment="1" applyProtection="1">
      <alignment vertical="center"/>
      <protection locked="0"/>
    </xf>
    <xf numFmtId="49" fontId="20" fillId="10" borderId="6" xfId="65" applyNumberFormat="1" applyFont="1" applyFill="1" applyBorder="1" applyAlignment="1" applyProtection="1">
      <alignment vertical="center" wrapText="1"/>
      <protection locked="0"/>
    </xf>
    <xf numFmtId="49" fontId="20" fillId="10" borderId="4" xfId="65" applyNumberFormat="1" applyFont="1" applyFill="1" applyBorder="1" applyAlignment="1" applyProtection="1">
      <alignment vertical="center"/>
      <protection locked="0"/>
    </xf>
    <xf numFmtId="49" fontId="78" fillId="9" borderId="4" xfId="65" applyNumberFormat="1" applyFont="1" applyFill="1" applyBorder="1" applyAlignment="1" applyProtection="1">
      <alignment vertical="center" wrapText="1"/>
      <protection locked="0"/>
    </xf>
    <xf numFmtId="49" fontId="60" fillId="10" borderId="5" xfId="65" applyNumberFormat="1" applyFont="1" applyFill="1" applyBorder="1" applyAlignment="1" applyProtection="1">
      <alignment vertical="center"/>
      <protection locked="0"/>
    </xf>
    <xf numFmtId="49" fontId="60" fillId="10" borderId="5" xfId="65" applyNumberFormat="1" applyFont="1" applyFill="1" applyBorder="1" applyAlignment="1" applyProtection="1">
      <alignment vertical="center" wrapText="1"/>
      <protection locked="0"/>
    </xf>
    <xf numFmtId="49" fontId="78" fillId="9" borderId="5" xfId="65" applyNumberFormat="1" applyFont="1" applyFill="1" applyBorder="1" applyAlignment="1" applyProtection="1">
      <alignment vertical="center" wrapText="1"/>
      <protection locked="0"/>
    </xf>
    <xf numFmtId="49" fontId="78" fillId="10" borderId="3" xfId="65" applyNumberFormat="1" applyFont="1" applyFill="1" applyBorder="1" applyAlignment="1" applyProtection="1">
      <alignment vertical="center"/>
      <protection locked="0"/>
    </xf>
    <xf numFmtId="49" fontId="78" fillId="10" borderId="3" xfId="65" applyNumberFormat="1" applyFont="1" applyFill="1" applyBorder="1" applyAlignment="1" applyProtection="1">
      <alignment horizontal="center" vertical="center"/>
      <protection locked="0"/>
    </xf>
    <xf numFmtId="49" fontId="60" fillId="10" borderId="6" xfId="65" applyNumberFormat="1" applyFont="1" applyFill="1" applyBorder="1" applyAlignment="1" applyProtection="1">
      <alignment vertical="center"/>
      <protection locked="0"/>
    </xf>
    <xf numFmtId="49" fontId="60" fillId="10" borderId="6" xfId="65" applyNumberFormat="1" applyFont="1" applyFill="1" applyBorder="1" applyAlignment="1" applyProtection="1">
      <alignment vertical="center" wrapText="1"/>
      <protection locked="0"/>
    </xf>
    <xf numFmtId="49" fontId="78" fillId="9" borderId="6" xfId="65" applyNumberFormat="1" applyFont="1" applyFill="1" applyBorder="1" applyAlignment="1" applyProtection="1">
      <alignment vertical="center" wrapText="1"/>
      <protection locked="0"/>
    </xf>
    <xf numFmtId="49" fontId="20" fillId="10" borderId="5" xfId="65" applyNumberFormat="1" applyFont="1" applyFill="1" applyBorder="1" applyAlignment="1" applyProtection="1">
      <alignment vertical="center"/>
      <protection locked="0"/>
    </xf>
    <xf numFmtId="49" fontId="24" fillId="9" borderId="4" xfId="65" applyNumberFormat="1" applyFont="1" applyFill="1" applyBorder="1" applyAlignment="1" applyProtection="1">
      <alignment vertical="center" wrapText="1"/>
      <protection locked="0"/>
    </xf>
    <xf numFmtId="49" fontId="28" fillId="9" borderId="4" xfId="65" applyNumberFormat="1" applyFont="1" applyFill="1" applyBorder="1" applyAlignment="1" applyProtection="1">
      <alignment horizontal="center" vertical="top" wrapText="1"/>
      <protection locked="0"/>
    </xf>
    <xf numFmtId="49" fontId="24" fillId="9" borderId="5" xfId="65" applyNumberFormat="1" applyFont="1" applyFill="1" applyBorder="1" applyAlignment="1" applyProtection="1">
      <alignment vertical="center" wrapText="1"/>
      <protection locked="0"/>
    </xf>
    <xf numFmtId="49" fontId="28" fillId="9" borderId="5" xfId="65" applyNumberFormat="1" applyFont="1" applyFill="1" applyBorder="1" applyAlignment="1" applyProtection="1">
      <alignment horizontal="center" vertical="top" wrapText="1"/>
      <protection locked="0"/>
    </xf>
    <xf numFmtId="49" fontId="20" fillId="10" borderId="6" xfId="65" applyNumberFormat="1" applyFont="1" applyFill="1" applyBorder="1" applyAlignment="1" applyProtection="1">
      <alignment vertical="center"/>
      <protection locked="0"/>
    </xf>
    <xf numFmtId="49" fontId="24" fillId="9" borderId="6" xfId="65" applyNumberFormat="1" applyFont="1" applyFill="1" applyBorder="1" applyAlignment="1" applyProtection="1">
      <alignment vertical="center" wrapText="1"/>
      <protection locked="0"/>
    </xf>
    <xf numFmtId="49" fontId="28" fillId="9" borderId="6" xfId="65" applyNumberFormat="1" applyFont="1" applyFill="1" applyBorder="1" applyAlignment="1" applyProtection="1">
      <alignment horizontal="center" vertical="top" wrapText="1"/>
      <protection locked="0"/>
    </xf>
    <xf numFmtId="49" fontId="26" fillId="10" borderId="3" xfId="65" applyNumberFormat="1" applyFont="1" applyFill="1" applyBorder="1" applyAlignment="1" applyProtection="1">
      <alignment vertical="center" wrapText="1"/>
      <protection locked="0"/>
    </xf>
    <xf numFmtId="49" fontId="24" fillId="10" borderId="4" xfId="65" applyNumberFormat="1" applyFont="1" applyFill="1" applyBorder="1" applyAlignment="1" applyProtection="1">
      <alignment vertical="center" wrapText="1"/>
      <protection locked="0"/>
    </xf>
    <xf numFmtId="49" fontId="24" fillId="10" borderId="5" xfId="65" applyNumberFormat="1" applyFont="1" applyFill="1" applyBorder="1" applyAlignment="1" applyProtection="1">
      <alignment vertical="center" wrapText="1"/>
      <protection locked="0"/>
    </xf>
    <xf numFmtId="49" fontId="78" fillId="10" borderId="5" xfId="65" applyNumberFormat="1" applyFont="1" applyFill="1" applyBorder="1" applyAlignment="1" applyProtection="1">
      <alignment vertical="center" wrapText="1"/>
      <protection locked="0"/>
    </xf>
    <xf numFmtId="49" fontId="24" fillId="10" borderId="6" xfId="65" applyNumberFormat="1" applyFont="1" applyFill="1" applyBorder="1" applyAlignment="1" applyProtection="1">
      <alignment vertical="center" wrapText="1"/>
      <protection locked="0"/>
    </xf>
    <xf numFmtId="49" fontId="60" fillId="10" borderId="4" xfId="65" applyNumberFormat="1" applyFont="1" applyFill="1" applyBorder="1" applyAlignment="1" applyProtection="1">
      <alignment horizontal="left" vertical="center"/>
      <protection locked="0"/>
    </xf>
    <xf numFmtId="49" fontId="60" fillId="10" borderId="4" xfId="65" applyNumberFormat="1" applyFont="1" applyFill="1" applyBorder="1" applyAlignment="1" applyProtection="1">
      <alignment horizontal="left" vertical="center" wrapText="1"/>
      <protection locked="0"/>
    </xf>
    <xf numFmtId="49" fontId="60" fillId="10" borderId="5" xfId="65" applyNumberFormat="1" applyFont="1" applyFill="1" applyBorder="1" applyAlignment="1" applyProtection="1">
      <alignment horizontal="left" vertical="center"/>
      <protection locked="0"/>
    </xf>
    <xf numFmtId="49" fontId="60" fillId="10" borderId="5" xfId="65" applyNumberFormat="1" applyFont="1" applyFill="1" applyBorder="1" applyAlignment="1" applyProtection="1">
      <alignment horizontal="left" vertical="center" wrapText="1"/>
      <protection locked="0"/>
    </xf>
    <xf numFmtId="49" fontId="60" fillId="10" borderId="6" xfId="65" applyNumberFormat="1" applyFont="1" applyFill="1" applyBorder="1" applyAlignment="1" applyProtection="1">
      <alignment horizontal="left" vertical="center"/>
      <protection locked="0"/>
    </xf>
    <xf numFmtId="49" fontId="60" fillId="10" borderId="6" xfId="65" applyNumberFormat="1" applyFont="1" applyFill="1" applyBorder="1" applyAlignment="1" applyProtection="1">
      <alignment horizontal="left" vertical="center" wrapText="1"/>
      <protection locked="0"/>
    </xf>
    <xf numFmtId="49" fontId="38" fillId="10" borderId="3" xfId="65" applyNumberFormat="1" applyFont="1" applyFill="1" applyBorder="1" applyAlignment="1" applyProtection="1">
      <alignment vertical="center"/>
      <protection locked="0"/>
    </xf>
    <xf numFmtId="49" fontId="32" fillId="10" borderId="3" xfId="65" applyNumberFormat="1" applyFont="1" applyFill="1" applyBorder="1" applyAlignment="1" applyProtection="1">
      <alignment vertical="center"/>
      <protection locked="0"/>
    </xf>
    <xf numFmtId="49" fontId="78" fillId="10" borderId="3" xfId="65" applyNumberFormat="1" applyFont="1" applyFill="1" applyBorder="1" applyAlignment="1" applyProtection="1">
      <alignment horizontal="left" vertical="center" wrapText="1"/>
      <protection locked="0"/>
    </xf>
    <xf numFmtId="49" fontId="60" fillId="10" borderId="4" xfId="65" applyNumberFormat="1" applyFont="1" applyFill="1" applyBorder="1" applyAlignment="1" applyProtection="1">
      <alignment vertical="center"/>
      <protection locked="0"/>
    </xf>
    <xf numFmtId="49" fontId="60" fillId="10" borderId="4" xfId="65" applyNumberFormat="1" applyFont="1" applyFill="1" applyBorder="1" applyAlignment="1" applyProtection="1">
      <alignment vertical="center" wrapText="1"/>
      <protection locked="0"/>
    </xf>
    <xf numFmtId="176" fontId="20" fillId="0" borderId="0" xfId="66" applyFont="1" applyFill="1" applyAlignment="1"/>
    <xf numFmtId="176" fontId="20" fillId="0" borderId="0" xfId="66" applyFont="1" applyAlignment="1"/>
    <xf numFmtId="0" fontId="20" fillId="0" borderId="0" xfId="66" applyNumberFormat="1" applyFont="1" applyAlignment="1"/>
    <xf numFmtId="49" fontId="25" fillId="0" borderId="0" xfId="54" applyNumberFormat="1" applyFont="1" applyFill="1" applyBorder="1" applyAlignment="1">
      <alignment horizontal="left" vertical="center" wrapText="1"/>
    </xf>
    <xf numFmtId="49" fontId="25" fillId="0" borderId="8" xfId="54" applyNumberFormat="1" applyFont="1" applyFill="1" applyBorder="1" applyAlignment="1">
      <alignment horizontal="left" vertical="center" wrapText="1"/>
    </xf>
    <xf numFmtId="49" fontId="19" fillId="11" borderId="3" xfId="54" applyNumberFormat="1" applyFont="1" applyFill="1" applyBorder="1" applyAlignment="1">
      <alignment horizontal="left" vertical="center" wrapText="1"/>
    </xf>
    <xf numFmtId="49" fontId="19" fillId="11" borderId="3" xfId="54" applyNumberFormat="1" applyFont="1" applyFill="1" applyBorder="1" applyAlignment="1">
      <alignment vertical="center" wrapText="1"/>
    </xf>
    <xf numFmtId="176" fontId="19" fillId="0" borderId="0" xfId="66" applyFont="1" applyAlignment="1"/>
    <xf numFmtId="176" fontId="56" fillId="0" borderId="3" xfId="66" applyFont="1" applyBorder="1" applyAlignment="1"/>
    <xf numFmtId="0" fontId="38" fillId="0" borderId="3" xfId="66" applyNumberFormat="1" applyFont="1" applyBorder="1" applyAlignment="1"/>
    <xf numFmtId="176" fontId="19" fillId="0" borderId="3" xfId="66" applyFont="1" applyBorder="1" applyAlignment="1"/>
    <xf numFmtId="176" fontId="38" fillId="0" borderId="3" xfId="66" applyFont="1" applyBorder="1" applyAlignment="1"/>
    <xf numFmtId="176" fontId="19" fillId="0" borderId="44" xfId="66" applyFont="1" applyBorder="1" applyAlignment="1"/>
    <xf numFmtId="176" fontId="38" fillId="9" borderId="3" xfId="66" applyFont="1" applyFill="1" applyBorder="1" applyAlignment="1"/>
    <xf numFmtId="176" fontId="93" fillId="0" borderId="3" xfId="66" applyFont="1" applyBorder="1" applyAlignment="1"/>
    <xf numFmtId="176" fontId="20" fillId="0" borderId="3" xfId="66" applyFont="1" applyBorder="1" applyAlignment="1"/>
    <xf numFmtId="176" fontId="56" fillId="0" borderId="7" xfId="66" applyFont="1" applyBorder="1" applyAlignment="1">
      <alignment horizontal="center"/>
    </xf>
    <xf numFmtId="176" fontId="56" fillId="0" borderId="10" xfId="66" applyFont="1" applyBorder="1" applyAlignment="1">
      <alignment horizontal="center"/>
    </xf>
    <xf numFmtId="176" fontId="56" fillId="0" borderId="3" xfId="66" applyFont="1" applyBorder="1" applyAlignment="1">
      <alignment horizontal="left"/>
    </xf>
    <xf numFmtId="0" fontId="38" fillId="0" borderId="3" xfId="66" applyNumberFormat="1" applyFont="1" applyBorder="1" applyAlignment="1">
      <alignment horizontal="left"/>
    </xf>
    <xf numFmtId="0" fontId="38" fillId="0" borderId="3" xfId="66" applyNumberFormat="1" applyFont="1" applyFill="1" applyBorder="1" applyAlignment="1"/>
    <xf numFmtId="176" fontId="38" fillId="0" borderId="3" xfId="66" applyFont="1" applyBorder="1" applyAlignment="1">
      <alignment horizontal="left"/>
    </xf>
    <xf numFmtId="176" fontId="19" fillId="0" borderId="0" xfId="66" applyFont="1" applyFill="1" applyAlignment="1"/>
    <xf numFmtId="0" fontId="38" fillId="9" borderId="3" xfId="66" applyNumberFormat="1" applyFont="1" applyFill="1" applyBorder="1" applyAlignment="1"/>
    <xf numFmtId="0" fontId="89" fillId="0" borderId="3" xfId="0" applyFont="1" applyBorder="1" applyAlignment="1"/>
    <xf numFmtId="0" fontId="20" fillId="0" borderId="3" xfId="66" applyNumberFormat="1" applyFont="1" applyBorder="1" applyAlignment="1">
      <alignment horizontal="left"/>
    </xf>
    <xf numFmtId="0" fontId="20" fillId="0" borderId="3" xfId="66" applyNumberFormat="1" applyFont="1" applyBorder="1" applyAlignment="1"/>
    <xf numFmtId="0" fontId="94" fillId="0" borderId="0" xfId="57" applyFont="1" applyBorder="1">
      <alignment vertical="center"/>
    </xf>
    <xf numFmtId="0" fontId="94" fillId="0" borderId="45" xfId="57" applyFont="1" applyBorder="1">
      <alignment vertical="center"/>
    </xf>
    <xf numFmtId="0" fontId="94" fillId="0" borderId="46" xfId="57" applyFont="1" applyBorder="1">
      <alignment vertical="center"/>
    </xf>
    <xf numFmtId="0" fontId="94" fillId="0" borderId="47" xfId="57" applyFont="1" applyBorder="1">
      <alignment vertical="center"/>
    </xf>
    <xf numFmtId="0" fontId="94" fillId="0" borderId="48" xfId="57" applyFont="1" applyBorder="1">
      <alignment vertical="center"/>
    </xf>
    <xf numFmtId="0" fontId="94" fillId="0" borderId="49" xfId="58" applyFont="1" applyBorder="1" applyAlignment="1">
      <alignment horizontal="left" vertical="center" wrapText="1"/>
    </xf>
    <xf numFmtId="0" fontId="94" fillId="0" borderId="50" xfId="58" applyFont="1" applyBorder="1" applyAlignment="1">
      <alignment horizontal="left" vertical="center" wrapText="1"/>
    </xf>
    <xf numFmtId="0" fontId="94" fillId="0" borderId="13" xfId="59" applyFont="1" applyBorder="1" applyAlignment="1">
      <alignment horizontal="left" vertical="center" wrapText="1"/>
    </xf>
    <xf numFmtId="0" fontId="94" fillId="0" borderId="0" xfId="59" applyFont="1" applyBorder="1" applyAlignment="1">
      <alignment horizontal="left" vertical="center" wrapText="1"/>
    </xf>
    <xf numFmtId="0" fontId="94" fillId="0" borderId="14" xfId="59" applyFont="1" applyBorder="1" applyAlignment="1">
      <alignment horizontal="left" vertical="center" wrapText="1"/>
    </xf>
    <xf numFmtId="0" fontId="94" fillId="0" borderId="13" xfId="58" applyFont="1" applyBorder="1" applyAlignment="1">
      <alignment horizontal="left" vertical="center" wrapText="1"/>
    </xf>
    <xf numFmtId="0" fontId="94" fillId="0" borderId="14" xfId="58" applyFont="1" applyBorder="1" applyAlignment="1">
      <alignment horizontal="left" vertical="center" wrapText="1"/>
    </xf>
    <xf numFmtId="0" fontId="95" fillId="0" borderId="13" xfId="59" applyFont="1" applyBorder="1" applyAlignment="1">
      <alignment horizontal="center" vertical="center" wrapText="1"/>
    </xf>
    <xf numFmtId="0" fontId="95" fillId="0" borderId="51" xfId="59" applyFont="1" applyBorder="1" applyAlignment="1">
      <alignment horizontal="center" vertical="center" wrapText="1"/>
    </xf>
    <xf numFmtId="0" fontId="96" fillId="0" borderId="52" xfId="59" applyFont="1" applyBorder="1" applyAlignment="1">
      <alignment horizontal="center" vertical="center" wrapText="1"/>
    </xf>
    <xf numFmtId="0" fontId="94" fillId="0" borderId="53" xfId="58" applyFont="1" applyBorder="1" applyAlignment="1">
      <alignment horizontal="left" vertical="center" wrapText="1"/>
    </xf>
    <xf numFmtId="0" fontId="94" fillId="0" borderId="15" xfId="58" applyFont="1" applyBorder="1" applyAlignment="1">
      <alignment horizontal="left" vertical="center" wrapText="1"/>
    </xf>
    <xf numFmtId="0" fontId="94" fillId="0" borderId="31" xfId="59" applyFont="1" applyBorder="1" applyAlignment="1">
      <alignment horizontal="left" vertical="center" wrapText="1"/>
    </xf>
    <xf numFmtId="0" fontId="94" fillId="0" borderId="8" xfId="59" applyFont="1" applyBorder="1" applyAlignment="1">
      <alignment horizontal="left" vertical="center" wrapText="1"/>
    </xf>
    <xf numFmtId="0" fontId="94" fillId="0" borderId="15" xfId="59" applyFont="1" applyBorder="1" applyAlignment="1">
      <alignment horizontal="left" vertical="center" wrapText="1"/>
    </xf>
    <xf numFmtId="0" fontId="94" fillId="0" borderId="31" xfId="58" applyFont="1" applyBorder="1" applyAlignment="1">
      <alignment horizontal="left" vertical="center" wrapText="1"/>
    </xf>
    <xf numFmtId="0" fontId="95" fillId="0" borderId="31" xfId="59" applyFont="1" applyBorder="1" applyAlignment="1">
      <alignment horizontal="center" vertical="center" wrapText="1"/>
    </xf>
    <xf numFmtId="0" fontId="95" fillId="0" borderId="54" xfId="59" applyFont="1" applyBorder="1" applyAlignment="1">
      <alignment horizontal="center" vertical="center" wrapText="1"/>
    </xf>
    <xf numFmtId="0" fontId="96" fillId="0" borderId="55" xfId="59" applyFont="1" applyBorder="1" applyAlignment="1">
      <alignment horizontal="center" vertical="center" wrapText="1"/>
    </xf>
    <xf numFmtId="0" fontId="94" fillId="0" borderId="56" xfId="58" applyFont="1" applyBorder="1" applyAlignment="1">
      <alignment horizontal="left" vertical="center" wrapText="1"/>
    </xf>
    <xf numFmtId="0" fontId="94" fillId="0" borderId="11" xfId="59" applyFont="1" applyBorder="1" applyAlignment="1">
      <alignment horizontal="left" vertical="center" wrapText="1"/>
    </xf>
    <xf numFmtId="0" fontId="94" fillId="0" borderId="57" xfId="59" applyFont="1" applyBorder="1" applyAlignment="1">
      <alignment horizontal="left" vertical="center" wrapText="1"/>
    </xf>
    <xf numFmtId="0" fontId="94" fillId="0" borderId="12" xfId="59" applyFont="1" applyBorder="1" applyAlignment="1">
      <alignment horizontal="left" vertical="center" wrapText="1"/>
    </xf>
    <xf numFmtId="0" fontId="94" fillId="0" borderId="57" xfId="58" applyFont="1" applyBorder="1" applyAlignment="1">
      <alignment horizontal="left" vertical="center" wrapText="1"/>
    </xf>
    <xf numFmtId="0" fontId="94" fillId="0" borderId="12" xfId="58" applyFont="1" applyBorder="1" applyAlignment="1">
      <alignment horizontal="left" vertical="center"/>
    </xf>
    <xf numFmtId="0" fontId="94" fillId="0" borderId="58" xfId="59" applyFont="1" applyBorder="1" applyAlignment="1">
      <alignment horizontal="left" vertical="center" wrapText="1"/>
    </xf>
    <xf numFmtId="0" fontId="94" fillId="0" borderId="8" xfId="58" applyFont="1" applyBorder="1" applyAlignment="1">
      <alignment horizontal="left" vertical="center"/>
    </xf>
    <xf numFmtId="0" fontId="94" fillId="0" borderId="15" xfId="58" applyFont="1" applyBorder="1" applyAlignment="1">
      <alignment horizontal="left" vertical="center"/>
    </xf>
    <xf numFmtId="0" fontId="94" fillId="0" borderId="54" xfId="59" applyFont="1" applyBorder="1" applyAlignment="1">
      <alignment horizontal="left" vertical="center" wrapText="1"/>
    </xf>
    <xf numFmtId="0" fontId="94" fillId="0" borderId="59" xfId="57" applyFont="1" applyBorder="1">
      <alignment vertical="center"/>
    </xf>
    <xf numFmtId="0" fontId="94" fillId="0" borderId="11" xfId="59" applyNumberFormat="1" applyFont="1" applyBorder="1" applyAlignment="1">
      <alignment horizontal="left" vertical="center" wrapText="1"/>
    </xf>
    <xf numFmtId="49" fontId="94" fillId="0" borderId="58" xfId="59" applyNumberFormat="1" applyFont="1" applyBorder="1" applyAlignment="1">
      <alignment horizontal="left" vertical="center" wrapText="1"/>
    </xf>
    <xf numFmtId="49" fontId="96" fillId="0" borderId="52" xfId="59" applyNumberFormat="1" applyFont="1" applyBorder="1" applyAlignment="1">
      <alignment horizontal="center" vertical="center" wrapText="1"/>
    </xf>
    <xf numFmtId="0" fontId="94" fillId="0" borderId="60" xfId="58" applyFont="1" applyBorder="1" applyAlignment="1">
      <alignment horizontal="left" vertical="center"/>
    </xf>
    <xf numFmtId="0" fontId="94" fillId="0" borderId="61" xfId="58" applyFont="1" applyBorder="1" applyAlignment="1">
      <alignment horizontal="left" vertical="center"/>
    </xf>
    <xf numFmtId="0" fontId="94" fillId="0" borderId="62" xfId="59" applyFont="1" applyBorder="1" applyAlignment="1">
      <alignment horizontal="left" vertical="center" wrapText="1"/>
    </xf>
    <xf numFmtId="0" fontId="94" fillId="0" borderId="60" xfId="59" applyFont="1" applyBorder="1" applyAlignment="1">
      <alignment horizontal="left" vertical="center" wrapText="1"/>
    </xf>
    <xf numFmtId="0" fontId="94" fillId="0" borderId="61" xfId="59" applyFont="1" applyBorder="1" applyAlignment="1">
      <alignment horizontal="left" vertical="center" wrapText="1"/>
    </xf>
    <xf numFmtId="0" fontId="94" fillId="0" borderId="62" xfId="58" applyFont="1" applyBorder="1" applyAlignment="1">
      <alignment horizontal="left" vertical="center" wrapText="1"/>
    </xf>
    <xf numFmtId="0" fontId="94" fillId="0" borderId="61" xfId="58" applyFont="1" applyBorder="1" applyAlignment="1">
      <alignment horizontal="left" vertical="center" wrapText="1"/>
    </xf>
    <xf numFmtId="49" fontId="94" fillId="0" borderId="62" xfId="59" applyNumberFormat="1" applyFont="1" applyBorder="1" applyAlignment="1">
      <alignment horizontal="left" vertical="center" wrapText="1"/>
    </xf>
    <xf numFmtId="49" fontId="94" fillId="0" borderId="63" xfId="59" applyNumberFormat="1" applyFont="1" applyBorder="1" applyAlignment="1">
      <alignment horizontal="left" vertical="center" wrapText="1"/>
    </xf>
    <xf numFmtId="49" fontId="96" fillId="0" borderId="55" xfId="59" applyNumberFormat="1" applyFont="1" applyBorder="1" applyAlignment="1">
      <alignment horizontal="center" vertical="center" wrapText="1"/>
    </xf>
    <xf numFmtId="0" fontId="94" fillId="0" borderId="0" xfId="58" applyFont="1" applyBorder="1"/>
    <xf numFmtId="0" fontId="97" fillId="0" borderId="0" xfId="59" applyFont="1" applyBorder="1" applyAlignment="1">
      <alignment vertical="center" wrapText="1"/>
    </xf>
    <xf numFmtId="0" fontId="94" fillId="0" borderId="55" xfId="58" applyFont="1" applyBorder="1"/>
    <xf numFmtId="0" fontId="98" fillId="0" borderId="0" xfId="59" applyFont="1" applyBorder="1" applyAlignment="1">
      <alignment horizontal="center" vertical="center" wrapText="1"/>
    </xf>
    <xf numFmtId="0" fontId="99" fillId="0" borderId="55" xfId="59" applyFont="1" applyBorder="1" applyAlignment="1">
      <alignment horizontal="center" vertical="center" wrapText="1"/>
    </xf>
    <xf numFmtId="0" fontId="94" fillId="0" borderId="0" xfId="58" applyFont="1" applyBorder="1" applyAlignment="1">
      <alignment wrapText="1"/>
    </xf>
    <xf numFmtId="0" fontId="94" fillId="0" borderId="0" xfId="0" applyFont="1" applyBorder="1" applyAlignment="1">
      <alignment horizontal="left" vertical="center" wrapText="1"/>
    </xf>
    <xf numFmtId="0" fontId="100" fillId="0" borderId="55" xfId="0" applyFont="1" applyBorder="1" applyAlignment="1">
      <alignment horizontal="center" vertical="center" wrapText="1"/>
    </xf>
    <xf numFmtId="0" fontId="94" fillId="0" borderId="8" xfId="0" applyFont="1" applyBorder="1" applyAlignment="1">
      <alignment horizontal="left" vertical="center" wrapText="1"/>
    </xf>
    <xf numFmtId="0" fontId="94" fillId="0" borderId="57" xfId="0" applyFont="1" applyBorder="1" applyAlignment="1">
      <alignment horizontal="left" vertical="center" wrapText="1"/>
    </xf>
    <xf numFmtId="0" fontId="94" fillId="0" borderId="0" xfId="59" applyFont="1" applyBorder="1" applyAlignment="1">
      <alignment vertical="center" wrapText="1"/>
    </xf>
    <xf numFmtId="0" fontId="94" fillId="0" borderId="57" xfId="58" applyFont="1" applyBorder="1"/>
    <xf numFmtId="0" fontId="94" fillId="0" borderId="55" xfId="57" applyFont="1" applyBorder="1">
      <alignment vertical="center"/>
    </xf>
    <xf numFmtId="0" fontId="100" fillId="0" borderId="0" xfId="0" applyFont="1" applyBorder="1" applyAlignment="1">
      <alignment horizontal="center" vertical="center"/>
    </xf>
    <xf numFmtId="0" fontId="101" fillId="0" borderId="0" xfId="0" applyFont="1" applyBorder="1" applyAlignment="1">
      <alignment horizontal="center" vertical="center"/>
    </xf>
    <xf numFmtId="0" fontId="94" fillId="0" borderId="64" xfId="57" applyFont="1" applyBorder="1">
      <alignment vertical="center"/>
    </xf>
    <xf numFmtId="0" fontId="94" fillId="0" borderId="65" xfId="57" applyFont="1" applyBorder="1">
      <alignment vertical="center"/>
    </xf>
    <xf numFmtId="0" fontId="94" fillId="0" borderId="66" xfId="57" applyFont="1" applyBorder="1">
      <alignment vertical="center"/>
    </xf>
    <xf numFmtId="0" fontId="20" fillId="0" borderId="0" xfId="0" applyFont="1" applyAlignment="1">
      <alignment horizontal="left" vertical="center" wrapText="1"/>
    </xf>
    <xf numFmtId="49" fontId="20" fillId="0" borderId="0" xfId="0" applyNumberFormat="1" applyFont="1" applyAlignment="1">
      <alignment horizontal="left" vertical="center" wrapText="1"/>
    </xf>
    <xf numFmtId="0" fontId="19" fillId="0" borderId="0" xfId="0" applyFont="1" applyAlignment="1">
      <alignment horizontal="left" vertical="center" wrapText="1"/>
    </xf>
    <xf numFmtId="0" fontId="19" fillId="11" borderId="16" xfId="0" applyFont="1" applyFill="1" applyBorder="1" applyAlignment="1">
      <alignment horizontal="left" vertical="center" wrapText="1"/>
    </xf>
    <xf numFmtId="0" fontId="19" fillId="11" borderId="17" xfId="0" applyFont="1" applyFill="1" applyBorder="1" applyAlignment="1">
      <alignment horizontal="left" vertical="center" wrapText="1"/>
    </xf>
    <xf numFmtId="0" fontId="19" fillId="11" borderId="18" xfId="0" applyFont="1" applyFill="1" applyBorder="1" applyAlignment="1">
      <alignment horizontal="left" vertical="center" wrapText="1"/>
    </xf>
    <xf numFmtId="0" fontId="19" fillId="11" borderId="27" xfId="0" applyFont="1" applyFill="1" applyBorder="1" applyAlignment="1">
      <alignment horizontal="left" vertical="center" wrapText="1"/>
    </xf>
    <xf numFmtId="0" fontId="19" fillId="11" borderId="28" xfId="0" applyFont="1" applyFill="1" applyBorder="1" applyAlignment="1">
      <alignment horizontal="left" vertical="center" wrapText="1"/>
    </xf>
    <xf numFmtId="49" fontId="19" fillId="11" borderId="29" xfId="0" applyNumberFormat="1" applyFont="1" applyFill="1" applyBorder="1" applyAlignment="1">
      <alignment horizontal="left" vertical="center" wrapText="1"/>
    </xf>
    <xf numFmtId="0" fontId="20" fillId="0" borderId="25" xfId="0" applyFont="1" applyFill="1" applyBorder="1" applyAlignment="1">
      <alignment horizontal="left" vertical="center" wrapText="1"/>
    </xf>
    <xf numFmtId="0" fontId="20" fillId="0" borderId="6" xfId="0" applyFont="1" applyFill="1" applyBorder="1" applyAlignment="1">
      <alignment horizontal="left" vertical="center" wrapText="1"/>
    </xf>
    <xf numFmtId="49" fontId="20" fillId="0" borderId="26" xfId="0" applyNumberFormat="1" applyFont="1" applyFill="1" applyBorder="1" applyAlignment="1">
      <alignment horizontal="left" vertical="center" wrapText="1"/>
    </xf>
    <xf numFmtId="0" fontId="20" fillId="0" borderId="19" xfId="0" applyFont="1" applyFill="1" applyBorder="1" applyAlignment="1">
      <alignment horizontal="left" vertical="center" wrapText="1"/>
    </xf>
    <xf numFmtId="0" fontId="20" fillId="0" borderId="3" xfId="0" applyFont="1" applyFill="1" applyBorder="1" applyAlignment="1">
      <alignment horizontal="left" vertical="center" wrapText="1"/>
    </xf>
    <xf numFmtId="49" fontId="20" fillId="0" borderId="20" xfId="0" applyNumberFormat="1" applyFont="1" applyFill="1" applyBorder="1" applyAlignment="1">
      <alignment horizontal="left" vertical="center" wrapText="1"/>
    </xf>
    <xf numFmtId="49" fontId="20" fillId="0" borderId="3" xfId="0" applyNumberFormat="1" applyFont="1" applyFill="1" applyBorder="1" applyAlignment="1">
      <alignment horizontal="left" vertical="center" wrapText="1"/>
    </xf>
    <xf numFmtId="0" fontId="20" fillId="0" borderId="27" xfId="0" applyFont="1" applyFill="1" applyBorder="1" applyAlignment="1">
      <alignment horizontal="left" vertical="center" wrapText="1"/>
    </xf>
    <xf numFmtId="0" fontId="20" fillId="0" borderId="28" xfId="0" applyFont="1" applyFill="1" applyBorder="1" applyAlignment="1">
      <alignment horizontal="left" vertical="center" wrapText="1"/>
    </xf>
    <xf numFmtId="49" fontId="20" fillId="0" borderId="29" xfId="0" applyNumberFormat="1" applyFont="1" applyFill="1" applyBorder="1" applyAlignment="1">
      <alignment horizontal="left" vertical="center" wrapText="1"/>
    </xf>
    <xf numFmtId="0" fontId="20" fillId="0" borderId="0" xfId="0" applyFont="1" applyFill="1" applyAlignment="1">
      <alignment horizontal="left" vertical="center" wrapText="1"/>
    </xf>
    <xf numFmtId="49" fontId="20" fillId="0" borderId="0" xfId="0" applyNumberFormat="1" applyFont="1" applyFill="1" applyAlignment="1">
      <alignment horizontal="left" vertical="center" wrapText="1"/>
    </xf>
    <xf numFmtId="0" fontId="20" fillId="0" borderId="0" xfId="71" applyFont="1" applyAlignment="1"/>
    <xf numFmtId="0" fontId="20" fillId="0" borderId="0" xfId="71" applyFont="1" applyAlignment="1">
      <alignment horizontal="left"/>
    </xf>
    <xf numFmtId="0" fontId="20" fillId="5" borderId="41" xfId="71" applyFont="1" applyFill="1" applyBorder="1" applyAlignment="1">
      <alignment horizontal="left" vertical="center"/>
    </xf>
    <xf numFmtId="0" fontId="20" fillId="5" borderId="42" xfId="71" applyFont="1" applyFill="1" applyBorder="1" applyAlignment="1">
      <alignment horizontal="left" vertical="center"/>
    </xf>
    <xf numFmtId="0" fontId="20" fillId="5" borderId="43" xfId="71" applyFont="1" applyFill="1" applyBorder="1" applyAlignment="1">
      <alignment horizontal="left" vertical="center"/>
    </xf>
    <xf numFmtId="0" fontId="20" fillId="0" borderId="45" xfId="71" applyFont="1" applyBorder="1" applyAlignment="1">
      <alignment horizontal="left" vertical="center" wrapText="1"/>
    </xf>
    <xf numFmtId="0" fontId="20" fillId="0" borderId="67" xfId="71" applyFont="1" applyBorder="1" applyAlignment="1">
      <alignment horizontal="left" vertical="center" wrapText="1"/>
    </xf>
    <xf numFmtId="0" fontId="20" fillId="0" borderId="47" xfId="71" applyFont="1" applyBorder="1" applyAlignment="1">
      <alignment horizontal="left" vertical="center" wrapText="1"/>
    </xf>
    <xf numFmtId="0" fontId="20" fillId="0" borderId="48" xfId="71" applyFont="1" applyBorder="1" applyAlignment="1">
      <alignment horizontal="left" vertical="center" wrapText="1"/>
    </xf>
    <xf numFmtId="0" fontId="20" fillId="0" borderId="0" xfId="71" applyFont="1" applyBorder="1" applyAlignment="1">
      <alignment horizontal="left" vertical="center" wrapText="1"/>
    </xf>
    <xf numFmtId="0" fontId="20" fillId="0" borderId="55" xfId="71" applyFont="1" applyBorder="1" applyAlignment="1">
      <alignment horizontal="left" vertical="center" wrapText="1"/>
    </xf>
    <xf numFmtId="0" fontId="20" fillId="0" borderId="68" xfId="71" applyFont="1" applyBorder="1" applyAlignment="1">
      <alignment horizontal="left" vertical="center" wrapText="1"/>
    </xf>
    <xf numFmtId="0" fontId="20" fillId="0" borderId="8" xfId="71" applyFont="1" applyBorder="1" applyAlignment="1">
      <alignment horizontal="left" vertical="center" wrapText="1"/>
    </xf>
    <xf numFmtId="0" fontId="20" fillId="0" borderId="69" xfId="71" applyFont="1" applyBorder="1" applyAlignment="1">
      <alignment horizontal="left" vertical="center" wrapText="1"/>
    </xf>
    <xf numFmtId="0" fontId="20" fillId="31" borderId="70" xfId="71" applyFont="1" applyFill="1" applyBorder="1" applyAlignment="1">
      <alignment horizontal="left" vertical="center" wrapText="1"/>
    </xf>
    <xf numFmtId="0" fontId="20" fillId="31" borderId="9" xfId="71" applyFont="1" applyFill="1" applyBorder="1" applyAlignment="1">
      <alignment horizontal="left" vertical="center" wrapText="1"/>
    </xf>
    <xf numFmtId="0" fontId="20" fillId="31" borderId="71" xfId="71" applyFont="1" applyFill="1" applyBorder="1" applyAlignment="1">
      <alignment horizontal="left" vertical="center" wrapText="1"/>
    </xf>
    <xf numFmtId="0" fontId="20" fillId="0" borderId="48" xfId="71" applyFont="1" applyBorder="1" applyAlignment="1">
      <alignment horizontal="left"/>
    </xf>
    <xf numFmtId="0" fontId="20" fillId="0" borderId="0" xfId="71" applyFont="1" applyBorder="1" applyAlignment="1">
      <alignment horizontal="left"/>
    </xf>
    <xf numFmtId="0" fontId="20" fillId="0" borderId="55" xfId="71" applyFont="1" applyBorder="1" applyAlignment="1">
      <alignment horizontal="left"/>
    </xf>
    <xf numFmtId="0" fontId="20" fillId="0" borderId="68" xfId="71" applyFont="1" applyBorder="1" applyAlignment="1">
      <alignment horizontal="left"/>
    </xf>
    <xf numFmtId="0" fontId="20" fillId="0" borderId="8" xfId="71" applyFont="1" applyBorder="1" applyAlignment="1">
      <alignment horizontal="left"/>
    </xf>
    <xf numFmtId="0" fontId="20" fillId="0" borderId="69" xfId="71" applyFont="1" applyBorder="1" applyAlignment="1">
      <alignment horizontal="left"/>
    </xf>
    <xf numFmtId="0" fontId="20" fillId="5" borderId="64" xfId="71" applyFont="1" applyFill="1" applyBorder="1" applyAlignment="1">
      <alignment horizontal="left" vertical="center" wrapText="1"/>
    </xf>
    <xf numFmtId="0" fontId="20" fillId="5" borderId="65" xfId="71" applyFont="1" applyFill="1" applyBorder="1" applyAlignment="1">
      <alignment horizontal="left" vertical="center" wrapText="1"/>
    </xf>
    <xf numFmtId="0" fontId="20" fillId="5" borderId="66" xfId="71" applyFont="1" applyFill="1" applyBorder="1" applyAlignment="1">
      <alignment horizontal="left" vertical="center" wrapText="1"/>
    </xf>
    <xf numFmtId="0" fontId="20" fillId="6" borderId="45" xfId="71" applyFont="1" applyFill="1" applyBorder="1" applyAlignment="1">
      <alignment horizontal="left" vertical="center" wrapText="1"/>
    </xf>
    <xf numFmtId="0" fontId="20" fillId="6" borderId="67" xfId="71" applyFont="1" applyFill="1" applyBorder="1" applyAlignment="1">
      <alignment horizontal="left" vertical="center" wrapText="1"/>
    </xf>
    <xf numFmtId="0" fontId="20" fillId="6" borderId="47" xfId="71" applyFont="1" applyFill="1" applyBorder="1" applyAlignment="1">
      <alignment horizontal="left" vertical="center" wrapText="1"/>
    </xf>
    <xf numFmtId="0" fontId="20" fillId="5" borderId="41" xfId="71" applyFont="1" applyFill="1" applyBorder="1" applyAlignment="1">
      <alignment horizontal="left" vertical="center" wrapText="1"/>
    </xf>
    <xf numFmtId="0" fontId="20" fillId="5" borderId="42" xfId="71" applyFont="1" applyFill="1" applyBorder="1" applyAlignment="1">
      <alignment horizontal="left" vertical="center" wrapText="1"/>
    </xf>
    <xf numFmtId="0" fontId="20" fillId="5" borderId="43" xfId="71" applyFont="1" applyFill="1" applyBorder="1" applyAlignment="1">
      <alignment horizontal="left" vertical="center" wrapText="1"/>
    </xf>
    <xf numFmtId="0" fontId="20" fillId="10" borderId="48" xfId="71" applyFont="1" applyFill="1" applyBorder="1" applyAlignment="1">
      <alignment horizontal="left" vertical="center"/>
    </xf>
    <xf numFmtId="0" fontId="20" fillId="10" borderId="0" xfId="71" applyFont="1" applyFill="1" applyBorder="1" applyAlignment="1">
      <alignment horizontal="left" vertical="center"/>
    </xf>
    <xf numFmtId="0" fontId="20" fillId="10" borderId="55" xfId="71" applyFont="1" applyFill="1" applyBorder="1" applyAlignment="1">
      <alignment horizontal="left" vertical="center"/>
    </xf>
    <xf numFmtId="0" fontId="20" fillId="0" borderId="70" xfId="71" applyFont="1" applyBorder="1" applyAlignment="1">
      <alignment horizontal="left" vertical="center"/>
    </xf>
    <xf numFmtId="0" fontId="20" fillId="0" borderId="9" xfId="71" applyFont="1" applyBorder="1" applyAlignment="1">
      <alignment horizontal="left" vertical="center"/>
    </xf>
    <xf numFmtId="0" fontId="20" fillId="0" borderId="10" xfId="71" applyFont="1" applyBorder="1" applyAlignment="1">
      <alignment horizontal="left" vertical="center"/>
    </xf>
    <xf numFmtId="0" fontId="20" fillId="0" borderId="7" xfId="71" applyFont="1" applyBorder="1" applyAlignment="1">
      <alignment horizontal="left" vertical="center"/>
    </xf>
    <xf numFmtId="0" fontId="20" fillId="0" borderId="71" xfId="71" applyFont="1" applyBorder="1" applyAlignment="1">
      <alignment horizontal="left" vertical="center"/>
    </xf>
    <xf numFmtId="0" fontId="20" fillId="0" borderId="70" xfId="71" applyFont="1" applyBorder="1" applyAlignment="1">
      <alignment horizontal="left" vertical="center" wrapText="1"/>
    </xf>
    <xf numFmtId="0" fontId="20" fillId="0" borderId="9" xfId="71" applyFont="1" applyBorder="1" applyAlignment="1">
      <alignment horizontal="left" vertical="center" wrapText="1"/>
    </xf>
    <xf numFmtId="0" fontId="20" fillId="0" borderId="10" xfId="71" applyFont="1" applyBorder="1" applyAlignment="1">
      <alignment horizontal="left" vertical="center" wrapText="1"/>
    </xf>
    <xf numFmtId="0" fontId="20" fillId="5" borderId="45" xfId="71" applyFont="1" applyFill="1" applyBorder="1" applyAlignment="1">
      <alignment horizontal="left" vertical="center" wrapText="1"/>
    </xf>
    <xf numFmtId="0" fontId="20" fillId="5" borderId="67" xfId="71" applyFont="1" applyFill="1" applyBorder="1" applyAlignment="1">
      <alignment horizontal="left" vertical="center" wrapText="1"/>
    </xf>
    <xf numFmtId="0" fontId="20" fillId="5" borderId="47" xfId="71" applyFont="1" applyFill="1" applyBorder="1" applyAlignment="1">
      <alignment horizontal="left" vertical="center" wrapText="1"/>
    </xf>
    <xf numFmtId="0" fontId="20" fillId="0" borderId="19" xfId="71" applyFont="1" applyBorder="1" applyAlignment="1">
      <alignment horizontal="left" vertical="top" wrapText="1"/>
    </xf>
    <xf numFmtId="0" fontId="20" fillId="0" borderId="3" xfId="71" applyFont="1" applyBorder="1" applyAlignment="1">
      <alignment horizontal="left" vertical="top" wrapText="1"/>
    </xf>
    <xf numFmtId="0" fontId="20" fillId="0" borderId="20" xfId="71" applyFont="1" applyBorder="1" applyAlignment="1">
      <alignment horizontal="left" vertical="top" wrapText="1"/>
    </xf>
    <xf numFmtId="0" fontId="20" fillId="0" borderId="0" xfId="71" applyFont="1" applyAlignment="1">
      <alignment horizontal="left" wrapText="1"/>
    </xf>
    <xf numFmtId="0" fontId="20" fillId="0" borderId="19" xfId="71" applyFont="1" applyBorder="1" applyAlignment="1">
      <alignment horizontal="left" vertical="center"/>
    </xf>
    <xf numFmtId="0" fontId="20" fillId="0" borderId="3" xfId="71" applyFont="1" applyBorder="1" applyAlignment="1">
      <alignment horizontal="left" vertical="center"/>
    </xf>
    <xf numFmtId="0" fontId="20" fillId="0" borderId="3" xfId="71" applyFont="1" applyBorder="1" applyAlignment="1">
      <alignment horizontal="left" vertical="center" wrapText="1"/>
    </xf>
    <xf numFmtId="0" fontId="20" fillId="0" borderId="20" xfId="71" applyFont="1" applyBorder="1" applyAlignment="1">
      <alignment horizontal="left" vertical="center"/>
    </xf>
    <xf numFmtId="0" fontId="20" fillId="0" borderId="72" xfId="71" applyFont="1" applyBorder="1" applyAlignment="1">
      <alignment horizontal="left" vertical="center"/>
    </xf>
    <xf numFmtId="0" fontId="20" fillId="0" borderId="57" xfId="71" applyFont="1" applyBorder="1" applyAlignment="1">
      <alignment horizontal="left" vertical="center"/>
    </xf>
    <xf numFmtId="0" fontId="20" fillId="0" borderId="12" xfId="71" applyFont="1" applyBorder="1" applyAlignment="1">
      <alignment horizontal="left" vertical="center"/>
    </xf>
    <xf numFmtId="0" fontId="20" fillId="0" borderId="11" xfId="71" applyFont="1" applyBorder="1" applyAlignment="1">
      <alignment horizontal="left" vertical="center" wrapText="1"/>
    </xf>
    <xf numFmtId="0" fontId="20" fillId="0" borderId="57" xfId="71" applyFont="1" applyBorder="1" applyAlignment="1">
      <alignment horizontal="left" vertical="center" wrapText="1"/>
    </xf>
    <xf numFmtId="0" fontId="20" fillId="0" borderId="73" xfId="71" applyFont="1" applyBorder="1" applyAlignment="1">
      <alignment horizontal="left" vertical="center" wrapText="1"/>
    </xf>
    <xf numFmtId="0" fontId="20" fillId="0" borderId="68" xfId="71" applyFont="1" applyBorder="1" applyAlignment="1">
      <alignment horizontal="left" vertical="center"/>
    </xf>
    <xf numFmtId="0" fontId="20" fillId="0" borderId="8" xfId="71" applyFont="1" applyBorder="1" applyAlignment="1">
      <alignment horizontal="left" vertical="center"/>
    </xf>
    <xf numFmtId="0" fontId="20" fillId="0" borderId="15" xfId="71" applyFont="1" applyBorder="1" applyAlignment="1">
      <alignment horizontal="left" vertical="center"/>
    </xf>
    <xf numFmtId="0" fontId="20" fillId="0" borderId="31" xfId="71" applyFont="1" applyBorder="1" applyAlignment="1">
      <alignment horizontal="left" vertical="center" wrapText="1"/>
    </xf>
    <xf numFmtId="0" fontId="19" fillId="6" borderId="19" xfId="71" applyFont="1" applyFill="1" applyBorder="1" applyAlignment="1">
      <alignment horizontal="left" vertical="center" wrapText="1"/>
    </xf>
    <xf numFmtId="0" fontId="19" fillId="6" borderId="3" xfId="71" applyFont="1" applyFill="1" applyBorder="1" applyAlignment="1">
      <alignment horizontal="left" vertical="center" wrapText="1"/>
    </xf>
    <xf numFmtId="0" fontId="19" fillId="6" borderId="20" xfId="71" applyFont="1" applyFill="1" applyBorder="1" applyAlignment="1">
      <alignment horizontal="left" vertical="center" wrapText="1"/>
    </xf>
    <xf numFmtId="0" fontId="20" fillId="6" borderId="19" xfId="71" applyFont="1" applyFill="1" applyBorder="1" applyAlignment="1">
      <alignment horizontal="left" vertical="center" wrapText="1"/>
    </xf>
    <xf numFmtId="0" fontId="20" fillId="6" borderId="3" xfId="71" applyFont="1" applyFill="1" applyBorder="1" applyAlignment="1">
      <alignment horizontal="left" vertical="center" wrapText="1"/>
    </xf>
    <xf numFmtId="0" fontId="20" fillId="6" borderId="57" xfId="71" applyFont="1" applyFill="1" applyBorder="1" applyAlignment="1">
      <alignment horizontal="left" vertical="center" wrapText="1"/>
    </xf>
    <xf numFmtId="0" fontId="20" fillId="6" borderId="73" xfId="71" applyFont="1" applyFill="1" applyBorder="1" applyAlignment="1">
      <alignment horizontal="left" vertical="center" wrapText="1"/>
    </xf>
    <xf numFmtId="0" fontId="20" fillId="6" borderId="72" xfId="71" applyFont="1" applyFill="1" applyBorder="1" applyAlignment="1">
      <alignment horizontal="left" vertical="center" wrapText="1"/>
    </xf>
    <xf numFmtId="0" fontId="20" fillId="6" borderId="12" xfId="71" applyFont="1" applyFill="1" applyBorder="1" applyAlignment="1">
      <alignment horizontal="left" vertical="center" wrapText="1"/>
    </xf>
    <xf numFmtId="0" fontId="20" fillId="6" borderId="11" xfId="71" applyFont="1" applyFill="1" applyBorder="1" applyAlignment="1">
      <alignment horizontal="left" vertical="center" wrapText="1"/>
    </xf>
    <xf numFmtId="0" fontId="20" fillId="6" borderId="68" xfId="71" applyFont="1" applyFill="1" applyBorder="1" applyAlignment="1">
      <alignment horizontal="left" vertical="center" wrapText="1"/>
    </xf>
    <xf numFmtId="0" fontId="20" fillId="6" borderId="15" xfId="71" applyFont="1" applyFill="1" applyBorder="1" applyAlignment="1">
      <alignment horizontal="left" vertical="center" wrapText="1"/>
    </xf>
    <xf numFmtId="0" fontId="20" fillId="6" borderId="31" xfId="71" applyFont="1" applyFill="1" applyBorder="1" applyAlignment="1">
      <alignment horizontal="left" vertical="center" wrapText="1"/>
    </xf>
    <xf numFmtId="0" fontId="20" fillId="6" borderId="8" xfId="71" applyFont="1" applyFill="1" applyBorder="1" applyAlignment="1">
      <alignment horizontal="left" vertical="center" wrapText="1"/>
    </xf>
    <xf numFmtId="0" fontId="20" fillId="6" borderId="69" xfId="71" applyFont="1" applyFill="1" applyBorder="1" applyAlignment="1">
      <alignment horizontal="left" vertical="center" wrapText="1"/>
    </xf>
    <xf numFmtId="0" fontId="20" fillId="6" borderId="48" xfId="71" applyFont="1" applyFill="1" applyBorder="1" applyAlignment="1">
      <alignment horizontal="left" vertical="center" wrapText="1"/>
    </xf>
    <xf numFmtId="0" fontId="20" fillId="6" borderId="14" xfId="71" applyFont="1" applyFill="1" applyBorder="1" applyAlignment="1">
      <alignment horizontal="left" vertical="center" wrapText="1"/>
    </xf>
    <xf numFmtId="0" fontId="20" fillId="6" borderId="13" xfId="71" applyFont="1" applyFill="1" applyBorder="1" applyAlignment="1">
      <alignment horizontal="left" vertical="center" wrapText="1"/>
    </xf>
    <xf numFmtId="0" fontId="20" fillId="6" borderId="0" xfId="71" applyFont="1" applyFill="1" applyBorder="1" applyAlignment="1">
      <alignment horizontal="left" vertical="center" wrapText="1"/>
    </xf>
    <xf numFmtId="0" fontId="20" fillId="6" borderId="55" xfId="71" applyFont="1" applyFill="1" applyBorder="1" applyAlignment="1">
      <alignment horizontal="left" vertical="center" wrapText="1"/>
    </xf>
    <xf numFmtId="0" fontId="20" fillId="6" borderId="20" xfId="71" applyFont="1" applyFill="1" applyBorder="1" applyAlignment="1">
      <alignment horizontal="left" vertical="center" wrapText="1"/>
    </xf>
    <xf numFmtId="0" fontId="20" fillId="0" borderId="19" xfId="71" applyFont="1" applyBorder="1" applyAlignment="1">
      <alignment horizontal="left" vertical="center" wrapText="1"/>
    </xf>
    <xf numFmtId="0" fontId="20" fillId="0" borderId="20" xfId="71" applyFont="1" applyBorder="1" applyAlignment="1">
      <alignment horizontal="left" vertical="center" wrapText="1"/>
    </xf>
    <xf numFmtId="0" fontId="20" fillId="0" borderId="64" xfId="71" applyFont="1" applyBorder="1" applyAlignment="1">
      <alignment vertical="center" wrapText="1"/>
    </xf>
    <xf numFmtId="0" fontId="20" fillId="0" borderId="65" xfId="71" applyFont="1" applyBorder="1" applyAlignment="1">
      <alignment vertical="center" wrapText="1"/>
    </xf>
    <xf numFmtId="0" fontId="20" fillId="0" borderId="40" xfId="71" applyFont="1" applyBorder="1" applyAlignment="1">
      <alignment vertical="center" wrapText="1"/>
    </xf>
    <xf numFmtId="0" fontId="20" fillId="0" borderId="74" xfId="71" applyFont="1" applyBorder="1" applyAlignment="1">
      <alignment vertical="center" wrapText="1"/>
    </xf>
    <xf numFmtId="0" fontId="20" fillId="0" borderId="66" xfId="71" applyFont="1" applyBorder="1" applyAlignment="1">
      <alignment vertical="center" wrapText="1"/>
    </xf>
    <xf numFmtId="0" fontId="65" fillId="0" borderId="0" xfId="59" applyFont="1">
      <alignment vertical="center"/>
    </xf>
    <xf numFmtId="0" fontId="100" fillId="11" borderId="16" xfId="0" applyFont="1" applyFill="1" applyBorder="1" applyAlignment="1">
      <alignment horizontal="left" vertical="top" wrapText="1"/>
    </xf>
    <xf numFmtId="0" fontId="100" fillId="11" borderId="17" xfId="0" applyFont="1" applyFill="1" applyBorder="1" applyAlignment="1">
      <alignment horizontal="left" vertical="top" wrapText="1"/>
    </xf>
    <xf numFmtId="0" fontId="100" fillId="11" borderId="18" xfId="0" applyFont="1" applyFill="1" applyBorder="1" applyAlignment="1">
      <alignment horizontal="left" vertical="top" wrapText="1"/>
    </xf>
    <xf numFmtId="0" fontId="19" fillId="11" borderId="19" xfId="0" applyFont="1" applyFill="1" applyBorder="1" applyAlignment="1">
      <alignment horizontal="left" vertical="top" wrapText="1"/>
    </xf>
    <xf numFmtId="0" fontId="19" fillId="11" borderId="3" xfId="0" applyFont="1" applyFill="1" applyBorder="1" applyAlignment="1">
      <alignment horizontal="left" vertical="top" wrapText="1"/>
    </xf>
    <xf numFmtId="0" fontId="19" fillId="11" borderId="20" xfId="0" applyFont="1" applyFill="1" applyBorder="1" applyAlignment="1">
      <alignment horizontal="left" vertical="top" wrapText="1"/>
    </xf>
    <xf numFmtId="179" fontId="20" fillId="0" borderId="19" xfId="59" applyNumberFormat="1" applyFont="1" applyFill="1" applyBorder="1" applyAlignment="1">
      <alignment horizontal="left" vertical="center"/>
    </xf>
    <xf numFmtId="180" fontId="20" fillId="0" borderId="3" xfId="59" applyNumberFormat="1" applyFont="1" applyFill="1" applyBorder="1" applyAlignment="1">
      <alignment horizontal="left" vertical="center"/>
    </xf>
    <xf numFmtId="0" fontId="20" fillId="0" borderId="3" xfId="59" applyFont="1" applyFill="1" applyBorder="1" applyAlignment="1">
      <alignment horizontal="left" vertical="center"/>
    </xf>
    <xf numFmtId="0" fontId="20" fillId="0" borderId="20" xfId="59" applyFont="1" applyFill="1" applyBorder="1" applyAlignment="1">
      <alignment horizontal="left" vertical="center" wrapText="1"/>
    </xf>
    <xf numFmtId="180" fontId="20" fillId="0" borderId="3" xfId="59" applyNumberFormat="1" applyFont="1" applyBorder="1" applyAlignment="1">
      <alignment horizontal="left" vertical="center"/>
    </xf>
    <xf numFmtId="0" fontId="20" fillId="0" borderId="3" xfId="59" applyFont="1" applyBorder="1" applyAlignment="1">
      <alignment horizontal="left" vertical="center"/>
    </xf>
    <xf numFmtId="0" fontId="20" fillId="0" borderId="20" xfId="59" applyFont="1" applyBorder="1" applyAlignment="1">
      <alignment horizontal="left" vertical="center" wrapText="1"/>
    </xf>
    <xf numFmtId="179" fontId="20" fillId="0" borderId="19" xfId="59" applyNumberFormat="1" applyFont="1" applyBorder="1" applyAlignment="1">
      <alignment horizontal="left" vertical="center"/>
    </xf>
    <xf numFmtId="0" fontId="20" fillId="0" borderId="20" xfId="59" applyFont="1" applyBorder="1" applyAlignment="1">
      <alignment horizontal="left" vertical="top" wrapText="1"/>
    </xf>
    <xf numFmtId="49" fontId="20" fillId="0" borderId="3" xfId="59" applyNumberFormat="1" applyFont="1" applyBorder="1" applyAlignment="1">
      <alignment horizontal="left" vertical="center"/>
    </xf>
    <xf numFmtId="0" fontId="20" fillId="0" borderId="19" xfId="59" applyFont="1" applyBorder="1" applyAlignment="1">
      <alignment horizontal="left" vertical="center"/>
    </xf>
    <xf numFmtId="0" fontId="94" fillId="0" borderId="3" xfId="63" applyFont="1" applyBorder="1" applyAlignment="1"/>
    <xf numFmtId="0" fontId="38" fillId="0" borderId="19" xfId="59" applyFont="1" applyBorder="1">
      <alignment vertical="center"/>
    </xf>
    <xf numFmtId="14" fontId="38" fillId="0" borderId="3" xfId="59" applyNumberFormat="1" applyFont="1" applyBorder="1" applyAlignment="1">
      <alignment horizontal="left" vertical="center"/>
    </xf>
    <xf numFmtId="0" fontId="38" fillId="0" borderId="3" xfId="59" applyFont="1" applyBorder="1">
      <alignment vertical="center"/>
    </xf>
    <xf numFmtId="0" fontId="65" fillId="0" borderId="3" xfId="59" applyFont="1" applyBorder="1">
      <alignment vertical="center"/>
    </xf>
    <xf numFmtId="0" fontId="38" fillId="0" borderId="20" xfId="59" applyFont="1" applyBorder="1" applyAlignment="1">
      <alignment vertical="center" wrapText="1"/>
    </xf>
    <xf numFmtId="0" fontId="65" fillId="0" borderId="19" xfId="59" applyFont="1" applyBorder="1">
      <alignment vertical="center"/>
    </xf>
    <xf numFmtId="14" fontId="65" fillId="0" borderId="3" xfId="59" applyNumberFormat="1" applyFont="1" applyBorder="1" applyAlignment="1">
      <alignment horizontal="left" vertical="center"/>
    </xf>
    <xf numFmtId="0" fontId="65" fillId="0" borderId="20" xfId="59" applyFont="1" applyBorder="1" applyAlignment="1">
      <alignment vertical="center" wrapText="1"/>
    </xf>
    <xf numFmtId="14" fontId="65" fillId="0" borderId="3" xfId="59" applyNumberFormat="1" applyFont="1" applyBorder="1">
      <alignment vertical="center"/>
    </xf>
    <xf numFmtId="0" fontId="65" fillId="0" borderId="27" xfId="59" applyFont="1" applyBorder="1">
      <alignment vertical="center"/>
    </xf>
    <xf numFmtId="14" fontId="65" fillId="0" borderId="28" xfId="59" applyNumberFormat="1" applyFont="1" applyBorder="1">
      <alignment vertical="center"/>
    </xf>
    <xf numFmtId="0" fontId="65" fillId="0" borderId="28" xfId="59" applyFont="1" applyBorder="1">
      <alignment vertical="center"/>
    </xf>
    <xf numFmtId="0" fontId="65" fillId="0" borderId="29" xfId="59" applyFont="1" applyBorder="1" applyAlignment="1">
      <alignment vertical="center" wrapText="1"/>
    </xf>
    <xf numFmtId="0" fontId="102" fillId="0" borderId="0" xfId="0" applyFont="1" applyAlignment="1">
      <alignment horizontal="center" vertical="center"/>
    </xf>
    <xf numFmtId="0" fontId="102" fillId="0" borderId="0" xfId="0" applyFont="1">
      <alignment vertical="center"/>
    </xf>
    <xf numFmtId="0" fontId="102" fillId="0" borderId="0" xfId="0" applyFont="1" applyAlignment="1">
      <alignment horizontal="left" vertical="center"/>
    </xf>
    <xf numFmtId="0" fontId="19" fillId="11" borderId="3" xfId="0" applyFont="1" applyFill="1" applyBorder="1" applyAlignment="1">
      <alignment horizontal="center" vertical="center" wrapText="1"/>
    </xf>
    <xf numFmtId="0" fontId="102" fillId="0" borderId="3" xfId="0" applyFont="1" applyBorder="1" applyAlignment="1">
      <alignment horizontal="center" vertical="center"/>
    </xf>
    <xf numFmtId="0" fontId="102" fillId="0" borderId="3" xfId="0" applyFont="1" applyFill="1" applyBorder="1" applyAlignment="1">
      <alignment vertical="center" wrapText="1"/>
    </xf>
    <xf numFmtId="0" fontId="102" fillId="0" borderId="6" xfId="0" applyFont="1" applyBorder="1" applyAlignment="1">
      <alignment horizontal="center" vertical="center"/>
    </xf>
    <xf numFmtId="0" fontId="102" fillId="0" borderId="3" xfId="0" applyFont="1" applyBorder="1">
      <alignment vertical="center"/>
    </xf>
    <xf numFmtId="0" fontId="102" fillId="0" borderId="3" xfId="0" applyFont="1" applyBorder="1" applyAlignment="1">
      <alignment horizontal="left" vertical="center"/>
    </xf>
    <xf numFmtId="180" fontId="102" fillId="0" borderId="3" xfId="0" applyNumberFormat="1" applyFont="1" applyBorder="1" applyAlignment="1">
      <alignment horizontal="left" vertical="center"/>
    </xf>
    <xf numFmtId="0" fontId="20" fillId="0" borderId="3" xfId="59" applyFont="1" applyBorder="1" applyAlignment="1">
      <alignment horizontal="left" vertical="center" wrapText="1"/>
    </xf>
    <xf numFmtId="0" fontId="20" fillId="0" borderId="3" xfId="66" applyNumberFormat="1" applyFont="1" applyBorder="1" applyAlignment="1" quotePrefix="1"/>
    <xf numFmtId="0" fontId="20" fillId="23" borderId="3" xfId="50" applyNumberFormat="1" applyFont="1" applyFill="1" applyBorder="1" applyAlignment="1" quotePrefix="1">
      <alignment horizontal="left" vertical="center" wrapText="1"/>
    </xf>
    <xf numFmtId="0" fontId="24" fillId="23" borderId="3" xfId="50" applyNumberFormat="1" applyFont="1" applyFill="1" applyBorder="1" applyAlignment="1" quotePrefix="1">
      <alignment horizontal="left" vertical="center" wrapText="1"/>
    </xf>
    <xf numFmtId="178" fontId="20" fillId="23" borderId="3" xfId="50" applyNumberFormat="1" applyFont="1" applyFill="1" applyBorder="1" applyAlignment="1" quotePrefix="1">
      <alignment horizontal="left" vertical="center" wrapText="1"/>
    </xf>
    <xf numFmtId="178" fontId="24" fillId="23" borderId="3" xfId="50" applyNumberFormat="1" applyFont="1" applyFill="1" applyBorder="1" applyAlignment="1" quotePrefix="1">
      <alignment horizontal="left" vertical="center" wrapText="1"/>
    </xf>
    <xf numFmtId="49" fontId="24" fillId="0" borderId="6" xfId="56" applyNumberFormat="1" applyFont="1" applyFill="1" applyBorder="1" applyAlignment="1" quotePrefix="1">
      <alignment horizontal="center" vertical="center" wrapText="1"/>
    </xf>
    <xf numFmtId="49" fontId="24" fillId="0" borderId="3" xfId="56" applyNumberFormat="1" applyFont="1" applyFill="1" applyBorder="1" applyAlignment="1" quotePrefix="1">
      <alignment horizontal="center" vertical="center" wrapText="1"/>
    </xf>
    <xf numFmtId="0" fontId="10" fillId="0" borderId="3" xfId="65" applyFont="1" applyFill="1" applyBorder="1" applyAlignment="1" quotePrefix="1">
      <alignment horizontal="center" vertical="center"/>
    </xf>
  </cellXfs>
  <cellStyles count="7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P2_CMD.XLS" xfId="49"/>
    <cellStyle name="Normal_P2_CMD.XLS 2" xfId="50"/>
    <cellStyle name="Normal_P2_CNFG.XLS 2" xfId="51"/>
    <cellStyle name="PIDs_diag_ProtonBCM" xfId="52"/>
    <cellStyle name="PIDs_diag_ProtonBCM 2" xfId="53"/>
    <cellStyle name="標準_AW_Support_Enhanced_Diagnostic_Service_for_CMC 2" xfId="54"/>
    <cellStyle name="常规 10" xfId="55"/>
    <cellStyle name="常规 10 2" xfId="56"/>
    <cellStyle name="常规 12" xfId="57"/>
    <cellStyle name="常规 19" xfId="58"/>
    <cellStyle name="常规 2" xfId="59"/>
    <cellStyle name="常规 2 2" xfId="60"/>
    <cellStyle name="常规 2 2 2" xfId="61"/>
    <cellStyle name="常规 2 2 2 2 2 3 2 2" xfId="62"/>
    <cellStyle name="常规 21" xfId="63"/>
    <cellStyle name="常规 3" xfId="64"/>
    <cellStyle name="常规 3 2 2" xfId="65"/>
    <cellStyle name="常规 3 2 3" xfId="66"/>
    <cellStyle name="常规 3 7" xfId="67"/>
    <cellStyle name="常规 4" xfId="68"/>
    <cellStyle name="常规 5" xfId="69"/>
    <cellStyle name="常规 6" xfId="70"/>
    <cellStyle name="常规 7" xfId="71"/>
    <cellStyle name="常规 8" xfId="72"/>
    <cellStyle name="常规_Diagnosticformdoormodule060119" xfId="73"/>
    <cellStyle name="常规_READ DIDs_3 2" xfId="74"/>
  </cellStyles>
  <dxfs count="12">
    <dxf>
      <fill>
        <patternFill patternType="solid">
          <bgColor indexed="60"/>
        </patternFill>
      </fill>
    </dxf>
    <dxf>
      <fill>
        <patternFill patternType="solid">
          <bgColor indexed="53"/>
        </patternFill>
      </fill>
    </dxf>
    <dxf>
      <fill>
        <patternFill patternType="solid">
          <bgColor indexed="51"/>
        </patternFill>
      </fill>
    </dxf>
    <dxf>
      <font>
        <color rgb="FFFF0000"/>
      </font>
    </dxf>
    <dxf>
      <fill>
        <patternFill patternType="solid">
          <fgColor indexed="10"/>
          <bgColor indexed="31"/>
        </patternFill>
      </fill>
    </dxf>
    <dxf>
      <fill>
        <patternFill patternType="solid">
          <fgColor indexed="10"/>
          <bgColor indexed="10"/>
        </patternFill>
      </fill>
    </dxf>
    <dxf>
      <fill>
        <patternFill patternType="solid">
          <bgColor indexed="10"/>
        </patternFill>
      </fill>
    </dxf>
    <dxf>
      <fill>
        <patternFill patternType="solid">
          <bgColor indexed="22"/>
        </patternFill>
      </fill>
    </dxf>
    <dxf>
      <fill>
        <patternFill patternType="solid">
          <bgColor theme="0" tint="-0.349986266670736"/>
        </patternFill>
      </fill>
    </dxf>
    <dxf>
      <fill>
        <patternFill patternType="solid">
          <bgColor indexed="31"/>
        </patternFill>
      </fill>
    </dxf>
    <dxf>
      <fill>
        <patternFill patternType="solid">
          <fgColor indexed="10"/>
          <bgColor indexed="52"/>
        </patternFill>
      </fill>
    </dxf>
    <dxf>
      <font>
        <color rgb="FF9C0006"/>
      </font>
      <fill>
        <patternFill patternType="solid">
          <bgColor rgb="FFFFC7CE"/>
        </patternFill>
      </fill>
    </dxf>
  </dxfs>
  <tableStyles count="0" defaultTableStyle="TableStyleMedium9" defaultPivotStyle="PivotStyleLight16"/>
  <colors>
    <mruColors>
      <color rgb="00FFCC99"/>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aredStrings" Target="sharedStrings.xml"/><Relationship Id="rId32" Type="http://schemas.openxmlformats.org/officeDocument/2006/relationships/theme" Target="theme/theme1.xml"/><Relationship Id="rId31" Type="http://schemas.openxmlformats.org/officeDocument/2006/relationships/externalLink" Target="externalLinks/externalLink3.xml"/><Relationship Id="rId30" Type="http://schemas.openxmlformats.org/officeDocument/2006/relationships/externalLink" Target="externalLinks/externalLink2.xml"/><Relationship Id="rId3" Type="http://schemas.openxmlformats.org/officeDocument/2006/relationships/worksheet" Target="worksheets/sheet3.xml"/><Relationship Id="rId29" Type="http://schemas.openxmlformats.org/officeDocument/2006/relationships/externalLink" Target="externalLinks/externalLink1.xml"/><Relationship Id="rId28" Type="http://schemas.openxmlformats.org/officeDocument/2006/relationships/connections" Target="connections.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Drop" dx="26" page="1" val="0"/>
</file>

<file path=xl/ctrlProps/ctrlProp2.xml><?xml version="1.0" encoding="utf-8"?>
<formControlPr xmlns="http://schemas.microsoft.com/office/spreadsheetml/2009/9/main" objectType="Drop" dx="22" page="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158675</xdr:colOff>
      <xdr:row>8</xdr:row>
      <xdr:rowOff>72855</xdr:rowOff>
    </xdr:from>
    <xdr:to>
      <xdr:col>11</xdr:col>
      <xdr:colOff>555813</xdr:colOff>
      <xdr:row>21</xdr:row>
      <xdr:rowOff>29464</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402715" y="2431415"/>
          <a:ext cx="6029960" cy="210312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619125</xdr:colOff>
      <xdr:row>26</xdr:row>
      <xdr:rowOff>0</xdr:rowOff>
    </xdr:from>
    <xdr:to>
      <xdr:col>6</xdr:col>
      <xdr:colOff>600075</xdr:colOff>
      <xdr:row>29</xdr:row>
      <xdr:rowOff>28575</xdr:rowOff>
    </xdr:to>
    <xdr:pic>
      <xdr:nvPicPr>
        <xdr:cNvPr id="7" name="图片 25" descr="HW_POS_RGB_Vertical"/>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778125" y="5397500"/>
          <a:ext cx="65405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3</xdr:row>
      <xdr:rowOff>38100</xdr:rowOff>
    </xdr:from>
    <xdr:to>
      <xdr:col>2</xdr:col>
      <xdr:colOff>0</xdr:colOff>
      <xdr:row>4</xdr:row>
      <xdr:rowOff>0</xdr:rowOff>
    </xdr:to>
    <xdr:pic>
      <xdr:nvPicPr>
        <xdr:cNvPr id="2" name="Picture 1" descr="NAMG_Logo"/>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413500" y="552450"/>
          <a:ext cx="0" cy="28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6</xdr:col>
          <xdr:colOff>0</xdr:colOff>
          <xdr:row>26</xdr:row>
          <xdr:rowOff>0</xdr:rowOff>
        </xdr:from>
        <xdr:to>
          <xdr:col>7</xdr:col>
          <xdr:colOff>241300</xdr:colOff>
          <xdr:row>26</xdr:row>
          <xdr:rowOff>0</xdr:rowOff>
        </xdr:to>
        <xdr:sp>
          <xdr:nvSpPr>
            <xdr:cNvPr id="30768" name="Drop Down 48" hidden="1">
              <a:extLst>
                <a:ext uri="{63B3BB69-23CF-44E3-9099-C40C66FF867C}">
                  <a14:compatExt spid="_x0000_s30768"/>
                </a:ext>
              </a:extLst>
            </xdr:cNvPr>
            <xdr:cNvSpPr/>
          </xdr:nvSpPr>
          <xdr:spPr>
            <a:xfrm>
              <a:off x="7067550" y="12633960"/>
              <a:ext cx="901700" cy="0"/>
            </a:xfrm>
            <a:prstGeom prst="rect">
              <a:avLst/>
            </a:prstGeom>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0</xdr:colOff>
          <xdr:row>26</xdr:row>
          <xdr:rowOff>0</xdr:rowOff>
        </xdr:from>
        <xdr:to>
          <xdr:col>7</xdr:col>
          <xdr:colOff>241300</xdr:colOff>
          <xdr:row>26</xdr:row>
          <xdr:rowOff>0</xdr:rowOff>
        </xdr:to>
        <xdr:sp>
          <xdr:nvSpPr>
            <xdr:cNvPr id="30769" name="Drop Down 49" hidden="1">
              <a:extLst>
                <a:ext uri="{63B3BB69-23CF-44E3-9099-C40C66FF867C}">
                  <a14:compatExt spid="_x0000_s30769"/>
                </a:ext>
              </a:extLst>
            </xdr:cNvPr>
            <xdr:cNvSpPr/>
          </xdr:nvSpPr>
          <xdr:spPr>
            <a:xfrm>
              <a:off x="7067550" y="12633960"/>
              <a:ext cx="901700" cy="0"/>
            </a:xfrm>
            <a:prstGeom prst="rect">
              <a:avLst/>
            </a:prstGeom>
          </xdr:spPr>
        </xdr:sp>
        <xdr:clientData fPrintsWithSheet="0"/>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47624</xdr:colOff>
      <xdr:row>40</xdr:row>
      <xdr:rowOff>66675</xdr:rowOff>
    </xdr:from>
    <xdr:to>
      <xdr:col>2</xdr:col>
      <xdr:colOff>2734235</xdr:colOff>
      <xdr:row>40</xdr:row>
      <xdr:rowOff>1972235</xdr:rowOff>
    </xdr:to>
    <xdr:grpSp>
      <xdr:nvGrpSpPr>
        <xdr:cNvPr id="2" name="Group 1"/>
        <xdr:cNvGrpSpPr/>
      </xdr:nvGrpSpPr>
      <xdr:grpSpPr>
        <a:xfrm>
          <a:off x="6181090" y="16323310"/>
          <a:ext cx="2686685" cy="1905000"/>
          <a:chOff x="1064" y="2194"/>
          <a:chExt cx="376" cy="250"/>
        </a:xfrm>
      </xdr:grpSpPr>
      <xdr:pic>
        <xdr:nvPicPr>
          <xdr:cNvPr id="3" name="Picture 35"/>
          <xdr:cNvPicPr>
            <a:picLocks noChangeAspect="1" noChangeArrowheads="1"/>
          </xdr:cNvPicPr>
        </xdr:nvPicPr>
        <xdr:blipFill>
          <a:blip r:embed="rId1" cstate="print"/>
          <a:srcRect/>
          <a:stretch>
            <a:fillRect/>
          </a:stretch>
        </xdr:blipFill>
        <xdr:spPr>
          <a:xfrm>
            <a:off x="1064" y="2194"/>
            <a:ext cx="376" cy="162"/>
          </a:xfrm>
          <a:prstGeom prst="rect">
            <a:avLst/>
          </a:prstGeom>
          <a:noFill/>
          <a:ln w="9525">
            <a:noFill/>
            <a:miter lim="800000"/>
            <a:headEnd/>
            <a:tailEnd/>
          </a:ln>
        </xdr:spPr>
      </xdr:pic>
      <xdr:pic>
        <xdr:nvPicPr>
          <xdr:cNvPr id="4" name="Picture 36"/>
          <xdr:cNvPicPr>
            <a:picLocks noChangeAspect="1" noChangeArrowheads="1"/>
          </xdr:cNvPicPr>
        </xdr:nvPicPr>
        <xdr:blipFill>
          <a:blip r:embed="rId2" cstate="print"/>
          <a:srcRect/>
          <a:stretch>
            <a:fillRect/>
          </a:stretch>
        </xdr:blipFill>
        <xdr:spPr>
          <a:xfrm>
            <a:off x="1065" y="2355"/>
            <a:ext cx="375" cy="89"/>
          </a:xfrm>
          <a:prstGeom prst="rect">
            <a:avLst/>
          </a:prstGeom>
          <a:noFill/>
          <a:ln w="9525">
            <a:noFill/>
            <a:miter lim="800000"/>
            <a:headEnd/>
            <a:tailEnd/>
          </a:ln>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4.3-&#25511;&#21046;&#22120;/Windows/HiRain/BORGWARD%20HiFire.Sure/Excel%20Model/SubNetwork_Mode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Onebox\&#24037;&#20316;&#25991;&#20214;\75%20&#27743;&#28142;&#26234;&#36873;&#39033;&#30446;\02%20X6M&#39033;&#30446;\03%20&#35786;&#26029;&#38382;&#21367;&#35843;&#26597;&#34920;\00%20&#35786;&#26029;&#38382;&#21367;&#35843;&#26597;&#34920;&#27169;&#26495;\LIN&#25511;&#21046;&#22120;\X6M_ECUname_&#35786;&#26029;&#35843;&#26597;&#38382;&#21367;%20v1.0_202412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EA5.0\&#27169;&#26495;\&#26368;&#26032;&#29256;&#27169;&#26495;\20230530\EEA5.0%20ONEBOX_BOSCH%20diagnostic%20requiremet%20investigation%20list_V1.8_202306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Legend"/>
      <sheetName val="Signal_List"/>
      <sheetName val="History"/>
      <sheetName val="Predefined"/>
    </sheetNames>
    <sheetDataSet>
      <sheetData sheetId="0"/>
      <sheetData sheetId="1"/>
      <sheetData sheetId="2"/>
      <sheetData sheetId="3"/>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redefined"/>
      <sheetName val="RevisionRecords"/>
      <sheetName val="RevisionManagement"/>
      <sheetName val="Legend"/>
      <sheetName val="DocumentStructure"/>
      <sheetName val="00.Cover"/>
      <sheetName val="01.General"/>
      <sheetName val="02.1.ApplicationServices"/>
      <sheetName val="02.2.BootServices "/>
      <sheetName val="02.3.CommunicationControlSvcs"/>
      <sheetName val="03.1.System DID"/>
      <sheetName val="03.2.ECU DID"/>
      <sheetName val="03.3.Coding DID"/>
      <sheetName val="03.4.IOcontrol DID 0x2F"/>
      <sheetName val="System DID_bak"/>
      <sheetName val="IOControl (0x2F)"/>
      <sheetName val="03.5.Routine DID 0x31"/>
      <sheetName val="Routines (0x31)"/>
      <sheetName val="04.1.GroupOfDTC"/>
      <sheetName val="04.2.DTC list"/>
      <sheetName val="04.3.Snapshot"/>
      <sheetName val="04.4.ExtendedData"/>
      <sheetName val="Terms"/>
      <sheetName val="Flash"/>
      <sheetName val="DataBlock"/>
      <sheetName val="DTC-List"/>
      <sheetName val="ECU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edefined"/>
    </sheetNames>
    <sheetDataSet>
      <sheetData sheetId="0" refreshError="1"/>
    </sheetDataSet>
  </externalBook>
</externalLink>
</file>

<file path=xl/queryTables/queryTable1.xml><?xml version="1.0" encoding="utf-8"?>
<queryTable xmlns="http://schemas.openxmlformats.org/spreadsheetml/2006/main" name="diag note"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zoomScale="115" zoomScaleNormal="115" workbookViewId="0">
      <pane xSplit="1" ySplit="1" topLeftCell="B2" activePane="bottomRight" state="frozen"/>
      <selection/>
      <selection pane="topRight"/>
      <selection pane="bottomLeft"/>
      <selection pane="bottomRight" activeCell="F3" sqref="F3"/>
    </sheetView>
  </sheetViews>
  <sheetFormatPr defaultColWidth="8.90909090909091" defaultRowHeight="14" outlineLevelRow="2" outlineLevelCol="6"/>
  <cols>
    <col min="1" max="1" width="4.72727272727273" style="1321" customWidth="1"/>
    <col min="2" max="2" width="90" style="1322" customWidth="1"/>
    <col min="3" max="3" width="9.90909090909091" style="1322" customWidth="1"/>
    <col min="4" max="4" width="9.72727272727273" style="1322" customWidth="1"/>
    <col min="5" max="5" width="13.0909090909091" style="1323" customWidth="1"/>
    <col min="6" max="6" width="12.9090909090909" style="1321" customWidth="1"/>
    <col min="7" max="7" width="54.0909090909091" style="1322" customWidth="1"/>
    <col min="8" max="16384" width="8.90909090909091" style="1322"/>
  </cols>
  <sheetData>
    <row r="1" ht="32.5" customHeight="1" spans="1:7">
      <c r="A1" s="1324" t="s">
        <v>0</v>
      </c>
      <c r="B1" s="137" t="s">
        <v>1</v>
      </c>
      <c r="C1" s="137" t="s">
        <v>2</v>
      </c>
      <c r="D1" s="137" t="s">
        <v>3</v>
      </c>
      <c r="E1" s="137" t="s">
        <v>4</v>
      </c>
      <c r="F1" s="137" t="s">
        <v>5</v>
      </c>
      <c r="G1" s="137" t="s">
        <v>6</v>
      </c>
    </row>
    <row r="2" spans="1:7">
      <c r="A2" s="1325">
        <v>1</v>
      </c>
      <c r="B2" s="1326" t="s">
        <v>7</v>
      </c>
      <c r="C2" s="1327" t="s">
        <v>8</v>
      </c>
      <c r="D2" s="1328" t="s">
        <v>9</v>
      </c>
      <c r="E2" s="1329"/>
      <c r="F2" s="1330">
        <v>45694</v>
      </c>
      <c r="G2" s="1328"/>
    </row>
    <row r="3" spans="1:7">
      <c r="A3" s="1325"/>
      <c r="B3" s="1331"/>
      <c r="C3" s="1325"/>
      <c r="D3" s="1301"/>
      <c r="E3" s="1329"/>
      <c r="F3" s="1330"/>
      <c r="G3" s="1328"/>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G24"/>
  <sheetViews>
    <sheetView showGridLines="0" topLeftCell="A16" workbookViewId="0">
      <selection activeCell="G24" sqref="G24"/>
    </sheetView>
  </sheetViews>
  <sheetFormatPr defaultColWidth="9" defaultRowHeight="14" outlineLevelCol="6"/>
  <cols>
    <col min="1" max="1" width="9" style="1289"/>
    <col min="2" max="2" width="10.4545454545455" style="1289" customWidth="1"/>
    <col min="3" max="3" width="14.3636363636364" style="1289" customWidth="1"/>
    <col min="4" max="4" width="15.9090909090909" style="1289" customWidth="1"/>
    <col min="5" max="5" width="52.0909090909091" style="1289" customWidth="1"/>
    <col min="6" max="6" width="18.0909090909091" style="1289" customWidth="1"/>
    <col min="7" max="7" width="51.0909090909091" style="1289" customWidth="1"/>
    <col min="8" max="16384" width="9" style="1289"/>
  </cols>
  <sheetData>
    <row r="1" ht="11.15" customHeight="1"/>
    <row r="2" ht="33" customHeight="1" spans="2:7">
      <c r="B2" s="1290" t="s">
        <v>10</v>
      </c>
      <c r="C2" s="1291"/>
      <c r="D2" s="1291"/>
      <c r="E2" s="1291"/>
      <c r="F2" s="1291"/>
      <c r="G2" s="1292"/>
    </row>
    <row r="3" ht="33" customHeight="1" spans="2:7">
      <c r="B3" s="1293" t="s">
        <v>11</v>
      </c>
      <c r="C3" s="1294" t="s">
        <v>12</v>
      </c>
      <c r="D3" s="1294" t="s">
        <v>13</v>
      </c>
      <c r="E3" s="1294" t="s">
        <v>14</v>
      </c>
      <c r="F3" s="1294" t="s">
        <v>15</v>
      </c>
      <c r="G3" s="1295" t="s">
        <v>16</v>
      </c>
    </row>
    <row r="4" ht="21.75" customHeight="1" spans="2:7">
      <c r="B4" s="1296" t="s">
        <v>8</v>
      </c>
      <c r="C4" s="1297">
        <v>45694</v>
      </c>
      <c r="D4" s="1298" t="s">
        <v>9</v>
      </c>
      <c r="E4" s="1298"/>
      <c r="F4" s="1298"/>
      <c r="G4" s="1299" t="s">
        <v>17</v>
      </c>
    </row>
    <row r="5" ht="104" spans="2:7">
      <c r="B5" s="1296" t="s">
        <v>18</v>
      </c>
      <c r="C5" s="1300">
        <v>45712</v>
      </c>
      <c r="D5" s="1301" t="s">
        <v>9</v>
      </c>
      <c r="E5" s="1301"/>
      <c r="F5" s="1301"/>
      <c r="G5" s="1302" t="s">
        <v>19</v>
      </c>
    </row>
    <row r="6" ht="166.5" customHeight="1" spans="2:7">
      <c r="B6" s="1303" t="s">
        <v>20</v>
      </c>
      <c r="C6" s="1300">
        <v>45742</v>
      </c>
      <c r="D6" s="1301" t="s">
        <v>9</v>
      </c>
      <c r="E6" s="1301"/>
      <c r="F6" s="1301"/>
      <c r="G6" s="1304" t="s">
        <v>21</v>
      </c>
    </row>
    <row r="7" ht="121.5" customHeight="1" spans="2:7">
      <c r="B7" s="1303" t="s">
        <v>22</v>
      </c>
      <c r="C7" s="1300">
        <v>45749</v>
      </c>
      <c r="D7" s="1301" t="s">
        <v>9</v>
      </c>
      <c r="E7" s="1301"/>
      <c r="F7" s="1301"/>
      <c r="G7" s="1302" t="s">
        <v>23</v>
      </c>
    </row>
    <row r="8" ht="133.5" customHeight="1" spans="2:7">
      <c r="B8" s="1303" t="s">
        <v>24</v>
      </c>
      <c r="C8" s="1300">
        <v>45792</v>
      </c>
      <c r="D8" s="1301" t="s">
        <v>9</v>
      </c>
      <c r="E8" s="1301"/>
      <c r="F8" s="1301"/>
      <c r="G8" s="1302" t="s">
        <v>25</v>
      </c>
    </row>
    <row r="9" ht="154.5" customHeight="1" spans="2:7">
      <c r="B9" s="1303" t="s">
        <v>26</v>
      </c>
      <c r="C9" s="1300">
        <v>45799</v>
      </c>
      <c r="D9" s="1301" t="s">
        <v>9</v>
      </c>
      <c r="E9" s="1301"/>
      <c r="F9" s="1301"/>
      <c r="G9" s="1302" t="s">
        <v>27</v>
      </c>
    </row>
    <row r="10" ht="100" customHeight="1" spans="2:7">
      <c r="B10" s="1303" t="s">
        <v>28</v>
      </c>
      <c r="C10" s="1300">
        <v>45804</v>
      </c>
      <c r="D10" s="1301" t="s">
        <v>9</v>
      </c>
      <c r="E10" s="1301"/>
      <c r="F10" s="1301"/>
      <c r="G10" s="1302" t="s">
        <v>29</v>
      </c>
    </row>
    <row r="11" ht="40.5" customHeight="1" spans="2:7">
      <c r="B11" s="1303" t="s">
        <v>30</v>
      </c>
      <c r="C11" s="1300">
        <v>45813</v>
      </c>
      <c r="D11" s="1301" t="s">
        <v>9</v>
      </c>
      <c r="E11" s="1301"/>
      <c r="F11" s="1301"/>
      <c r="G11" s="1302" t="s">
        <v>31</v>
      </c>
    </row>
    <row r="12" ht="60.5" customHeight="1" spans="2:7">
      <c r="B12" s="1303" t="s">
        <v>32</v>
      </c>
      <c r="C12" s="1300">
        <v>45819</v>
      </c>
      <c r="D12" s="1301" t="s">
        <v>9</v>
      </c>
      <c r="E12" s="1301"/>
      <c r="F12" s="1301"/>
      <c r="G12" s="1304" t="s">
        <v>33</v>
      </c>
    </row>
    <row r="13" ht="102.5" customHeight="1" spans="2:7">
      <c r="B13" s="1303" t="s">
        <v>34</v>
      </c>
      <c r="C13" s="1300">
        <v>45824</v>
      </c>
      <c r="D13" s="1301" t="s">
        <v>9</v>
      </c>
      <c r="E13" s="1301"/>
      <c r="F13" s="1301"/>
      <c r="G13" s="1302" t="s">
        <v>35</v>
      </c>
    </row>
    <row r="14" ht="59" customHeight="1" spans="2:7">
      <c r="B14" s="1303" t="s">
        <v>36</v>
      </c>
      <c r="C14" s="1300">
        <v>45827</v>
      </c>
      <c r="D14" s="1301" t="s">
        <v>9</v>
      </c>
      <c r="E14" s="1301"/>
      <c r="F14" s="1301"/>
      <c r="G14" s="1302" t="s">
        <v>37</v>
      </c>
    </row>
    <row r="15" ht="63.5" customHeight="1" spans="2:7">
      <c r="B15" s="1303" t="s">
        <v>38</v>
      </c>
      <c r="C15" s="1305" t="s">
        <v>39</v>
      </c>
      <c r="D15" s="1301" t="s">
        <v>9</v>
      </c>
      <c r="E15" s="1301"/>
      <c r="F15" s="1301"/>
      <c r="G15" s="1302" t="s">
        <v>40</v>
      </c>
    </row>
    <row r="16" ht="81.5" customHeight="1" spans="2:7">
      <c r="B16" s="1306" t="s">
        <v>41</v>
      </c>
      <c r="C16" s="1305" t="s">
        <v>42</v>
      </c>
      <c r="D16" s="1301" t="s">
        <v>9</v>
      </c>
      <c r="E16" s="1307"/>
      <c r="F16" s="1307"/>
      <c r="G16" s="1302" t="s">
        <v>43</v>
      </c>
    </row>
    <row r="17" ht="65" spans="2:7">
      <c r="B17" s="1308" t="s">
        <v>44</v>
      </c>
      <c r="C17" s="1309">
        <v>45868</v>
      </c>
      <c r="D17" s="1310" t="s">
        <v>9</v>
      </c>
      <c r="E17" s="1311"/>
      <c r="F17" s="1311"/>
      <c r="G17" s="1312" t="s">
        <v>45</v>
      </c>
    </row>
    <row r="18" ht="104" spans="2:7">
      <c r="B18" s="1308" t="s">
        <v>46</v>
      </c>
      <c r="C18" s="1309">
        <v>45895</v>
      </c>
      <c r="D18" s="1311" t="s">
        <v>9</v>
      </c>
      <c r="E18" s="1311"/>
      <c r="F18" s="1311"/>
      <c r="G18" s="1312" t="s">
        <v>47</v>
      </c>
    </row>
    <row r="19" ht="130" spans="2:7">
      <c r="B19" s="1308" t="s">
        <v>48</v>
      </c>
      <c r="C19" s="1309">
        <v>45910</v>
      </c>
      <c r="D19" s="1311" t="s">
        <v>9</v>
      </c>
      <c r="E19" s="1311"/>
      <c r="F19" s="1311"/>
      <c r="G19" s="1312" t="s">
        <v>49</v>
      </c>
    </row>
    <row r="20" ht="84" spans="2:7">
      <c r="B20" s="1313" t="s">
        <v>50</v>
      </c>
      <c r="C20" s="1314">
        <v>45922</v>
      </c>
      <c r="D20" s="1311" t="s">
        <v>9</v>
      </c>
      <c r="E20" s="1311"/>
      <c r="F20" s="1311"/>
      <c r="G20" s="1315" t="s">
        <v>51</v>
      </c>
    </row>
    <row r="21" ht="112" spans="2:7">
      <c r="B21" s="1313" t="s">
        <v>52</v>
      </c>
      <c r="C21" s="1314">
        <v>45943</v>
      </c>
      <c r="D21" s="1311" t="s">
        <v>9</v>
      </c>
      <c r="E21" s="1311"/>
      <c r="F21" s="1311"/>
      <c r="G21" s="1315" t="s">
        <v>53</v>
      </c>
    </row>
    <row r="22" ht="98" spans="2:7">
      <c r="B22" s="1313" t="s">
        <v>54</v>
      </c>
      <c r="C22" s="1314">
        <v>45968</v>
      </c>
      <c r="D22" s="1311" t="s">
        <v>9</v>
      </c>
      <c r="E22" s="1311"/>
      <c r="F22" s="1311"/>
      <c r="G22" s="1315" t="s">
        <v>55</v>
      </c>
    </row>
    <row r="23" ht="60" customHeight="1" spans="2:7">
      <c r="B23" s="1313" t="s">
        <v>56</v>
      </c>
      <c r="C23" s="1316">
        <v>45979</v>
      </c>
      <c r="D23" s="1311" t="s">
        <v>9</v>
      </c>
      <c r="E23" s="1311"/>
      <c r="F23" s="1311"/>
      <c r="G23" s="1315" t="s">
        <v>57</v>
      </c>
    </row>
    <row r="24" ht="42.75" spans="2:7">
      <c r="B24" s="1317" t="s">
        <v>58</v>
      </c>
      <c r="C24" s="1318">
        <v>46065</v>
      </c>
      <c r="D24" s="1319" t="s">
        <v>9</v>
      </c>
      <c r="E24" s="1319"/>
      <c r="F24" s="1319"/>
      <c r="G24" s="1320" t="s">
        <v>59</v>
      </c>
    </row>
  </sheetData>
  <mergeCells count="1">
    <mergeCell ref="B2:G2"/>
  </mergeCells>
  <pageMargins left="0.7" right="0.7" top="0.75" bottom="0.75" header="0.3" footer="0.3"/>
  <pageSetup paperSize="9" fitToHeight="0" orientation="landscape" horizontalDpi="200" verticalDpi="300"/>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P64"/>
  <sheetViews>
    <sheetView zoomScale="130" zoomScaleNormal="130" topLeftCell="A21" workbookViewId="0">
      <selection activeCell="C4" sqref="C4:M7"/>
    </sheetView>
  </sheetViews>
  <sheetFormatPr defaultColWidth="8.90909090909091" defaultRowHeight="13"/>
  <cols>
    <col min="1" max="4" width="8.90909090909091" style="1198"/>
    <col min="5" max="5" width="9.36363636363636" style="1198" customWidth="1"/>
    <col min="6" max="12" width="8.90909090909091" style="1198"/>
    <col min="13" max="13" width="24.0909090909091" style="1198" customWidth="1"/>
    <col min="14" max="15" width="8.90909090909091" style="1198"/>
    <col min="16" max="16" width="39.0909090909091" style="1198" customWidth="1"/>
    <col min="17" max="16384" width="8.90909090909091" style="1198"/>
  </cols>
  <sheetData>
    <row r="2" ht="13.75"/>
    <row r="3" ht="21" customHeight="1" spans="3:13">
      <c r="C3" s="1199" t="s">
        <v>60</v>
      </c>
      <c r="D3" s="1200"/>
      <c r="E3" s="1200"/>
      <c r="F3" s="1200"/>
      <c r="G3" s="1200"/>
      <c r="H3" s="1200"/>
      <c r="I3" s="1200"/>
      <c r="J3" s="1200"/>
      <c r="K3" s="1200"/>
      <c r="L3" s="1200"/>
      <c r="M3" s="1201"/>
    </row>
    <row r="4" ht="21" customHeight="1" spans="3:13">
      <c r="C4" s="1202" t="s">
        <v>61</v>
      </c>
      <c r="D4" s="1203"/>
      <c r="E4" s="1203"/>
      <c r="F4" s="1203"/>
      <c r="G4" s="1203"/>
      <c r="H4" s="1203"/>
      <c r="I4" s="1203"/>
      <c r="J4" s="1203"/>
      <c r="K4" s="1203"/>
      <c r="L4" s="1203"/>
      <c r="M4" s="1204"/>
    </row>
    <row r="5" ht="21" customHeight="1" spans="3:13">
      <c r="C5" s="1205"/>
      <c r="D5" s="1206"/>
      <c r="E5" s="1206"/>
      <c r="F5" s="1206"/>
      <c r="G5" s="1206"/>
      <c r="H5" s="1206"/>
      <c r="I5" s="1206"/>
      <c r="J5" s="1206"/>
      <c r="K5" s="1206"/>
      <c r="L5" s="1206"/>
      <c r="M5" s="1207"/>
    </row>
    <row r="6" ht="21" customHeight="1" spans="3:13">
      <c r="C6" s="1205"/>
      <c r="D6" s="1206"/>
      <c r="E6" s="1206"/>
      <c r="F6" s="1206"/>
      <c r="G6" s="1206"/>
      <c r="H6" s="1206"/>
      <c r="I6" s="1206"/>
      <c r="J6" s="1206"/>
      <c r="K6" s="1206"/>
      <c r="L6" s="1206"/>
      <c r="M6" s="1207"/>
    </row>
    <row r="7" ht="54" customHeight="1" spans="3:13">
      <c r="C7" s="1208"/>
      <c r="D7" s="1209"/>
      <c r="E7" s="1209"/>
      <c r="F7" s="1209"/>
      <c r="G7" s="1209"/>
      <c r="H7" s="1209"/>
      <c r="I7" s="1209"/>
      <c r="J7" s="1209"/>
      <c r="K7" s="1209"/>
      <c r="L7" s="1209"/>
      <c r="M7" s="1210"/>
    </row>
    <row r="8" ht="21" customHeight="1" spans="3:13">
      <c r="C8" s="1211" t="s">
        <v>62</v>
      </c>
      <c r="D8" s="1212"/>
      <c r="E8" s="1212"/>
      <c r="F8" s="1212"/>
      <c r="G8" s="1212"/>
      <c r="H8" s="1212"/>
      <c r="I8" s="1212"/>
      <c r="J8" s="1212"/>
      <c r="K8" s="1212"/>
      <c r="L8" s="1212"/>
      <c r="M8" s="1213"/>
    </row>
    <row r="9" spans="3:13">
      <c r="C9" s="1214"/>
      <c r="D9" s="1215"/>
      <c r="E9" s="1215"/>
      <c r="F9" s="1215"/>
      <c r="G9" s="1215"/>
      <c r="H9" s="1215"/>
      <c r="I9" s="1215"/>
      <c r="J9" s="1215"/>
      <c r="K9" s="1215"/>
      <c r="L9" s="1215"/>
      <c r="M9" s="1216"/>
    </row>
    <row r="10" spans="3:13">
      <c r="C10" s="1214"/>
      <c r="D10" s="1215"/>
      <c r="E10" s="1215"/>
      <c r="F10" s="1215"/>
      <c r="G10" s="1215"/>
      <c r="H10" s="1215"/>
      <c r="I10" s="1215"/>
      <c r="J10" s="1215"/>
      <c r="K10" s="1215"/>
      <c r="L10" s="1215"/>
      <c r="M10" s="1216"/>
    </row>
    <row r="11" spans="3:13">
      <c r="C11" s="1214"/>
      <c r="D11" s="1215"/>
      <c r="E11" s="1215"/>
      <c r="F11" s="1215"/>
      <c r="G11" s="1215"/>
      <c r="H11" s="1215"/>
      <c r="I11" s="1215"/>
      <c r="J11" s="1215"/>
      <c r="K11" s="1215"/>
      <c r="L11" s="1215"/>
      <c r="M11" s="1216"/>
    </row>
    <row r="12" spans="3:13">
      <c r="C12" s="1214"/>
      <c r="D12" s="1215"/>
      <c r="E12" s="1215"/>
      <c r="F12" s="1215"/>
      <c r="G12" s="1215"/>
      <c r="H12" s="1215"/>
      <c r="I12" s="1215"/>
      <c r="J12" s="1215"/>
      <c r="K12" s="1215"/>
      <c r="L12" s="1215"/>
      <c r="M12" s="1216"/>
    </row>
    <row r="13" spans="3:13">
      <c r="C13" s="1214"/>
      <c r="D13" s="1215"/>
      <c r="E13" s="1215"/>
      <c r="F13" s="1215"/>
      <c r="G13" s="1215"/>
      <c r="H13" s="1215"/>
      <c r="I13" s="1215"/>
      <c r="J13" s="1215"/>
      <c r="K13" s="1215"/>
      <c r="L13" s="1215"/>
      <c r="M13" s="1216"/>
    </row>
    <row r="14" spans="3:13">
      <c r="C14" s="1214"/>
      <c r="D14" s="1215"/>
      <c r="E14" s="1215"/>
      <c r="F14" s="1215"/>
      <c r="G14" s="1215"/>
      <c r="H14" s="1215"/>
      <c r="I14" s="1215"/>
      <c r="J14" s="1215"/>
      <c r="K14" s="1215"/>
      <c r="L14" s="1215"/>
      <c r="M14" s="1216"/>
    </row>
    <row r="15" spans="3:13">
      <c r="C15" s="1214"/>
      <c r="D15" s="1215"/>
      <c r="E15" s="1215"/>
      <c r="F15" s="1215"/>
      <c r="G15" s="1215"/>
      <c r="H15" s="1215"/>
      <c r="I15" s="1215"/>
      <c r="J15" s="1215"/>
      <c r="K15" s="1215"/>
      <c r="L15" s="1215"/>
      <c r="M15" s="1216"/>
    </row>
    <row r="16" spans="3:13">
      <c r="C16" s="1214"/>
      <c r="D16" s="1215"/>
      <c r="E16" s="1215"/>
      <c r="F16" s="1215"/>
      <c r="G16" s="1215"/>
      <c r="H16" s="1215"/>
      <c r="I16" s="1215"/>
      <c r="J16" s="1215"/>
      <c r="K16" s="1215"/>
      <c r="L16" s="1215"/>
      <c r="M16" s="1216"/>
    </row>
    <row r="17" spans="3:13">
      <c r="C17" s="1214"/>
      <c r="D17" s="1215"/>
      <c r="E17" s="1215"/>
      <c r="F17" s="1215"/>
      <c r="G17" s="1215"/>
      <c r="H17" s="1215"/>
      <c r="I17" s="1215"/>
      <c r="J17" s="1215"/>
      <c r="K17" s="1215"/>
      <c r="L17" s="1215"/>
      <c r="M17" s="1216"/>
    </row>
    <row r="18" spans="3:13">
      <c r="C18" s="1214"/>
      <c r="D18" s="1215"/>
      <c r="E18" s="1215"/>
      <c r="F18" s="1215"/>
      <c r="G18" s="1215"/>
      <c r="H18" s="1215"/>
      <c r="I18" s="1215"/>
      <c r="J18" s="1215"/>
      <c r="K18" s="1215"/>
      <c r="L18" s="1215"/>
      <c r="M18" s="1216"/>
    </row>
    <row r="19" spans="3:13">
      <c r="C19" s="1214"/>
      <c r="D19" s="1215"/>
      <c r="E19" s="1215"/>
      <c r="F19" s="1215"/>
      <c r="G19" s="1215"/>
      <c r="H19" s="1215"/>
      <c r="I19" s="1215"/>
      <c r="J19" s="1215"/>
      <c r="K19" s="1215"/>
      <c r="L19" s="1215"/>
      <c r="M19" s="1216"/>
    </row>
    <row r="20" spans="3:13">
      <c r="C20" s="1214"/>
      <c r="D20" s="1215"/>
      <c r="E20" s="1215"/>
      <c r="F20" s="1215"/>
      <c r="G20" s="1215"/>
      <c r="H20" s="1215"/>
      <c r="I20" s="1215"/>
      <c r="J20" s="1215"/>
      <c r="K20" s="1215"/>
      <c r="L20" s="1215"/>
      <c r="M20" s="1216"/>
    </row>
    <row r="21" spans="3:13">
      <c r="C21" s="1214"/>
      <c r="D21" s="1215"/>
      <c r="E21" s="1215"/>
      <c r="F21" s="1215"/>
      <c r="G21" s="1215"/>
      <c r="H21" s="1215"/>
      <c r="I21" s="1215"/>
      <c r="J21" s="1215"/>
      <c r="K21" s="1215"/>
      <c r="L21" s="1215"/>
      <c r="M21" s="1216"/>
    </row>
    <row r="22" spans="3:13">
      <c r="C22" s="1214"/>
      <c r="D22" s="1215"/>
      <c r="E22" s="1215"/>
      <c r="F22" s="1215"/>
      <c r="G22" s="1215"/>
      <c r="H22" s="1215"/>
      <c r="I22" s="1215"/>
      <c r="J22" s="1215"/>
      <c r="K22" s="1215"/>
      <c r="L22" s="1215"/>
      <c r="M22" s="1216"/>
    </row>
    <row r="23" spans="3:13">
      <c r="C23" s="1214"/>
      <c r="D23" s="1215"/>
      <c r="E23" s="1215"/>
      <c r="F23" s="1215"/>
      <c r="G23" s="1215"/>
      <c r="H23" s="1215"/>
      <c r="I23" s="1215"/>
      <c r="J23" s="1215"/>
      <c r="K23" s="1215"/>
      <c r="L23" s="1215"/>
      <c r="M23" s="1216"/>
    </row>
    <row r="24" spans="3:13">
      <c r="C24" s="1217"/>
      <c r="D24" s="1218"/>
      <c r="E24" s="1218"/>
      <c r="F24" s="1218"/>
      <c r="G24" s="1218"/>
      <c r="H24" s="1218"/>
      <c r="I24" s="1218"/>
      <c r="J24" s="1218"/>
      <c r="K24" s="1218"/>
      <c r="L24" s="1218"/>
      <c r="M24" s="1219"/>
    </row>
    <row r="25" ht="20.25" customHeight="1" spans="3:13">
      <c r="C25" s="1220" t="s">
        <v>63</v>
      </c>
      <c r="D25" s="1221"/>
      <c r="E25" s="1221"/>
      <c r="F25" s="1221"/>
      <c r="G25" s="1221"/>
      <c r="H25" s="1221"/>
      <c r="I25" s="1221"/>
      <c r="J25" s="1221"/>
      <c r="K25" s="1221"/>
      <c r="L25" s="1221"/>
      <c r="M25" s="1222"/>
    </row>
    <row r="26" ht="21" customHeight="1" spans="3:13">
      <c r="C26" s="1223" t="s">
        <v>64</v>
      </c>
      <c r="D26" s="1224"/>
      <c r="E26" s="1224"/>
      <c r="F26" s="1224"/>
      <c r="G26" s="1224"/>
      <c r="H26" s="1224"/>
      <c r="I26" s="1224"/>
      <c r="J26" s="1224"/>
      <c r="K26" s="1224"/>
      <c r="L26" s="1224"/>
      <c r="M26" s="1225"/>
    </row>
    <row r="27" ht="20.25" customHeight="1" spans="3:13">
      <c r="C27" s="1226" t="s">
        <v>65</v>
      </c>
      <c r="D27" s="1227"/>
      <c r="E27" s="1227"/>
      <c r="F27" s="1227"/>
      <c r="G27" s="1227"/>
      <c r="H27" s="1227"/>
      <c r="I27" s="1227"/>
      <c r="J27" s="1227"/>
      <c r="K27" s="1227"/>
      <c r="L27" s="1227"/>
      <c r="M27" s="1228"/>
    </row>
    <row r="28" spans="3:13">
      <c r="C28" s="1229" t="s">
        <v>66</v>
      </c>
      <c r="D28" s="1230"/>
      <c r="E28" s="1230"/>
      <c r="F28" s="1230"/>
      <c r="G28" s="1230"/>
      <c r="H28" s="1230"/>
      <c r="I28" s="1230"/>
      <c r="J28" s="1230"/>
      <c r="K28" s="1230"/>
      <c r="L28" s="1230"/>
      <c r="M28" s="1231"/>
    </row>
    <row r="29" ht="21" customHeight="1" spans="3:13">
      <c r="C29" s="1232" t="s">
        <v>67</v>
      </c>
      <c r="D29" s="1233"/>
      <c r="E29" s="1234"/>
      <c r="F29" s="1235" t="s">
        <v>68</v>
      </c>
      <c r="G29" s="1233"/>
      <c r="H29" s="1234"/>
      <c r="I29" s="1235" t="s">
        <v>69</v>
      </c>
      <c r="J29" s="1233"/>
      <c r="K29" s="1234"/>
      <c r="L29" s="1235" t="s">
        <v>70</v>
      </c>
      <c r="M29" s="1236"/>
    </row>
    <row r="30" ht="20.5" customHeight="1" spans="3:13">
      <c r="C30" s="1237" t="s">
        <v>71</v>
      </c>
      <c r="D30" s="1238"/>
      <c r="E30" s="1239"/>
      <c r="F30" s="1235" t="s">
        <v>72</v>
      </c>
      <c r="G30" s="1233"/>
      <c r="H30" s="1234"/>
      <c r="I30" s="1235" t="s">
        <v>73</v>
      </c>
      <c r="J30" s="1233"/>
      <c r="K30" s="1234"/>
      <c r="L30" s="1235"/>
      <c r="M30" s="1236"/>
    </row>
    <row r="31" ht="20.5" customHeight="1" spans="3:13">
      <c r="C31" s="1240" t="s">
        <v>74</v>
      </c>
      <c r="D31" s="1241"/>
      <c r="E31" s="1241"/>
      <c r="F31" s="1241"/>
      <c r="G31" s="1241"/>
      <c r="H31" s="1241"/>
      <c r="I31" s="1241"/>
      <c r="J31" s="1241"/>
      <c r="K31" s="1241"/>
      <c r="L31" s="1241"/>
      <c r="M31" s="1242"/>
    </row>
    <row r="32" ht="20.25" customHeight="1" spans="3:13">
      <c r="C32" s="1243" t="s">
        <v>75</v>
      </c>
      <c r="D32" s="1244"/>
      <c r="E32" s="1244"/>
      <c r="F32" s="1244" t="s">
        <v>76</v>
      </c>
      <c r="G32" s="1244"/>
      <c r="H32" s="1244"/>
      <c r="I32" s="1244"/>
      <c r="J32" s="1244"/>
      <c r="K32" s="1244"/>
      <c r="L32" s="1244"/>
      <c r="M32" s="1245"/>
    </row>
    <row r="33" ht="41.15" customHeight="1" spans="3:16">
      <c r="C33" s="1243"/>
      <c r="D33" s="1244"/>
      <c r="E33" s="1244"/>
      <c r="F33" s="1244"/>
      <c r="G33" s="1244"/>
      <c r="H33" s="1244"/>
      <c r="I33" s="1244"/>
      <c r="J33" s="1244"/>
      <c r="K33" s="1244"/>
      <c r="L33" s="1244"/>
      <c r="M33" s="1245"/>
      <c r="P33" s="1246"/>
    </row>
    <row r="34" ht="20.5" customHeight="1" spans="3:16">
      <c r="C34" s="1247" t="s">
        <v>77</v>
      </c>
      <c r="D34" s="1248"/>
      <c r="E34" s="1248"/>
      <c r="F34" s="1249" t="s">
        <v>78</v>
      </c>
      <c r="G34" s="1248"/>
      <c r="H34" s="1248"/>
      <c r="I34" s="1248"/>
      <c r="J34" s="1248"/>
      <c r="K34" s="1248"/>
      <c r="L34" s="1248"/>
      <c r="M34" s="1250"/>
    </row>
    <row r="35" ht="20.5" customHeight="1" spans="3:16">
      <c r="C35" s="1247"/>
      <c r="D35" s="1248"/>
      <c r="E35" s="1248"/>
      <c r="F35" s="1248"/>
      <c r="G35" s="1248"/>
      <c r="H35" s="1248"/>
      <c r="I35" s="1248"/>
      <c r="J35" s="1248"/>
      <c r="K35" s="1248"/>
      <c r="L35" s="1248"/>
      <c r="M35" s="1250"/>
    </row>
    <row r="36" ht="20.5" customHeight="1" spans="3:16">
      <c r="C36" s="1247" t="s">
        <v>79</v>
      </c>
      <c r="D36" s="1248"/>
      <c r="E36" s="1248"/>
      <c r="F36" s="1249" t="s">
        <v>80</v>
      </c>
      <c r="G36" s="1248"/>
      <c r="H36" s="1248"/>
      <c r="I36" s="1248"/>
      <c r="J36" s="1248"/>
      <c r="K36" s="1248"/>
      <c r="L36" s="1248"/>
      <c r="M36" s="1250"/>
    </row>
    <row r="37" ht="20.5" customHeight="1" spans="3:16">
      <c r="C37" s="1247"/>
      <c r="D37" s="1248"/>
      <c r="E37" s="1248"/>
      <c r="F37" s="1248"/>
      <c r="G37" s="1248"/>
      <c r="H37" s="1248"/>
      <c r="I37" s="1248"/>
      <c r="J37" s="1248"/>
      <c r="K37" s="1248"/>
      <c r="L37" s="1248"/>
      <c r="M37" s="1250"/>
    </row>
    <row r="38" spans="3:16">
      <c r="C38" s="1232" t="s">
        <v>70</v>
      </c>
      <c r="D38" s="1233"/>
      <c r="E38" s="1234"/>
      <c r="F38" s="1248" t="s">
        <v>81</v>
      </c>
      <c r="G38" s="1248"/>
      <c r="H38" s="1248"/>
      <c r="I38" s="1248"/>
      <c r="J38" s="1248"/>
      <c r="K38" s="1248"/>
      <c r="L38" s="1248"/>
      <c r="M38" s="1250"/>
    </row>
    <row r="39" ht="20.5" customHeight="1" spans="3:16">
      <c r="C39" s="1247" t="s">
        <v>82</v>
      </c>
      <c r="D39" s="1248"/>
      <c r="E39" s="1248"/>
      <c r="F39" s="1249" t="s">
        <v>83</v>
      </c>
      <c r="G39" s="1248"/>
      <c r="H39" s="1248"/>
      <c r="I39" s="1248"/>
      <c r="J39" s="1248"/>
      <c r="K39" s="1248"/>
      <c r="L39" s="1248"/>
      <c r="M39" s="1250"/>
    </row>
    <row r="40" ht="20.5" customHeight="1" spans="3:16">
      <c r="C40" s="1247"/>
      <c r="D40" s="1248"/>
      <c r="E40" s="1248"/>
      <c r="F40" s="1248"/>
      <c r="G40" s="1248"/>
      <c r="H40" s="1248"/>
      <c r="I40" s="1248"/>
      <c r="J40" s="1248"/>
      <c r="K40" s="1248"/>
      <c r="L40" s="1248"/>
      <c r="M40" s="1250"/>
    </row>
    <row r="41" ht="20.5" customHeight="1" spans="3:16">
      <c r="C41" s="1251" t="s">
        <v>84</v>
      </c>
      <c r="D41" s="1252"/>
      <c r="E41" s="1253"/>
      <c r="F41" s="1254" t="s">
        <v>85</v>
      </c>
      <c r="G41" s="1255"/>
      <c r="H41" s="1255"/>
      <c r="I41" s="1255"/>
      <c r="J41" s="1255"/>
      <c r="K41" s="1255"/>
      <c r="L41" s="1255"/>
      <c r="M41" s="1256"/>
      <c r="P41" s="1246"/>
    </row>
    <row r="42" ht="20.5" customHeight="1" spans="3:16">
      <c r="C42" s="1257"/>
      <c r="D42" s="1258"/>
      <c r="E42" s="1259"/>
      <c r="F42" s="1260"/>
      <c r="G42" s="1209"/>
      <c r="H42" s="1209"/>
      <c r="I42" s="1209"/>
      <c r="J42" s="1209"/>
      <c r="K42" s="1209"/>
      <c r="L42" s="1209"/>
      <c r="M42" s="1210"/>
    </row>
    <row r="43" ht="20.5" customHeight="1" spans="3:16">
      <c r="C43" s="1247" t="s">
        <v>86</v>
      </c>
      <c r="D43" s="1248"/>
      <c r="E43" s="1248"/>
      <c r="F43" s="1249" t="s">
        <v>87</v>
      </c>
      <c r="G43" s="1248"/>
      <c r="H43" s="1248"/>
      <c r="I43" s="1248"/>
      <c r="J43" s="1248"/>
      <c r="K43" s="1248"/>
      <c r="L43" s="1248"/>
      <c r="M43" s="1250"/>
    </row>
    <row r="44" ht="20.5" customHeight="1" spans="3:16">
      <c r="C44" s="1247"/>
      <c r="D44" s="1248"/>
      <c r="E44" s="1248"/>
      <c r="F44" s="1248"/>
      <c r="G44" s="1248"/>
      <c r="H44" s="1248"/>
      <c r="I44" s="1248"/>
      <c r="J44" s="1248"/>
      <c r="K44" s="1248"/>
      <c r="L44" s="1248"/>
      <c r="M44" s="1250"/>
    </row>
    <row r="45" ht="20.25" customHeight="1" spans="3:16">
      <c r="C45" s="1220" t="s">
        <v>88</v>
      </c>
      <c r="D45" s="1221"/>
      <c r="E45" s="1221"/>
      <c r="F45" s="1221"/>
      <c r="G45" s="1221"/>
      <c r="H45" s="1221"/>
      <c r="I45" s="1221"/>
      <c r="J45" s="1221"/>
      <c r="K45" s="1221"/>
      <c r="L45" s="1221"/>
      <c r="M45" s="1222"/>
    </row>
    <row r="46" ht="20.25" customHeight="1" spans="3:16">
      <c r="C46" s="1261" t="s">
        <v>89</v>
      </c>
      <c r="D46" s="1262"/>
      <c r="E46" s="1262" t="s">
        <v>90</v>
      </c>
      <c r="F46" s="1262"/>
      <c r="G46" s="1262"/>
      <c r="H46" s="1262"/>
      <c r="I46" s="1262"/>
      <c r="J46" s="1262"/>
      <c r="K46" s="1262"/>
      <c r="L46" s="1262"/>
      <c r="M46" s="1263"/>
    </row>
    <row r="47" ht="20.25" customHeight="1" spans="3:16">
      <c r="C47" s="1264" t="s">
        <v>91</v>
      </c>
      <c r="D47" s="1265"/>
      <c r="E47" s="1266" t="s">
        <v>92</v>
      </c>
      <c r="F47" s="1266"/>
      <c r="G47" s="1266"/>
      <c r="H47" s="1266"/>
      <c r="I47" s="1266"/>
      <c r="J47" s="1266"/>
      <c r="K47" s="1266"/>
      <c r="L47" s="1266"/>
      <c r="M47" s="1267"/>
    </row>
    <row r="48" ht="20.25" customHeight="1" spans="3:16">
      <c r="C48" s="1268" t="s">
        <v>93</v>
      </c>
      <c r="D48" s="1269"/>
      <c r="E48" s="1270" t="s">
        <v>94</v>
      </c>
      <c r="F48" s="1266"/>
      <c r="G48" s="1266"/>
      <c r="H48" s="1266"/>
      <c r="I48" s="1266"/>
      <c r="J48" s="1266"/>
      <c r="K48" s="1266"/>
      <c r="L48" s="1266"/>
      <c r="M48" s="1267"/>
    </row>
    <row r="49" ht="20.25" customHeight="1" spans="3:13">
      <c r="C49" s="1271"/>
      <c r="D49" s="1272"/>
      <c r="E49" s="1273"/>
      <c r="F49" s="1274"/>
      <c r="G49" s="1274"/>
      <c r="H49" s="1274"/>
      <c r="I49" s="1274"/>
      <c r="J49" s="1274"/>
      <c r="K49" s="1274"/>
      <c r="L49" s="1274"/>
      <c r="M49" s="1275"/>
    </row>
    <row r="50" ht="20.25" customHeight="1" spans="3:13">
      <c r="C50" s="1268" t="s">
        <v>95</v>
      </c>
      <c r="D50" s="1269"/>
      <c r="E50" s="1270" t="s">
        <v>96</v>
      </c>
      <c r="F50" s="1266"/>
      <c r="G50" s="1266"/>
      <c r="H50" s="1266"/>
      <c r="I50" s="1266"/>
      <c r="J50" s="1266"/>
      <c r="K50" s="1266"/>
      <c r="L50" s="1266"/>
      <c r="M50" s="1267"/>
    </row>
    <row r="51" ht="20.25" customHeight="1" spans="3:13">
      <c r="C51" s="1271"/>
      <c r="D51" s="1272"/>
      <c r="E51" s="1273"/>
      <c r="F51" s="1274"/>
      <c r="G51" s="1274"/>
      <c r="H51" s="1274"/>
      <c r="I51" s="1274"/>
      <c r="J51" s="1274"/>
      <c r="K51" s="1274"/>
      <c r="L51" s="1274"/>
      <c r="M51" s="1275"/>
    </row>
    <row r="52" ht="20.25" customHeight="1" spans="3:13">
      <c r="C52" s="1268" t="s">
        <v>97</v>
      </c>
      <c r="D52" s="1269"/>
      <c r="E52" s="1270" t="s">
        <v>98</v>
      </c>
      <c r="F52" s="1266"/>
      <c r="G52" s="1266"/>
      <c r="H52" s="1266"/>
      <c r="I52" s="1266"/>
      <c r="J52" s="1266"/>
      <c r="K52" s="1266"/>
      <c r="L52" s="1266"/>
      <c r="M52" s="1267"/>
    </row>
    <row r="53" ht="20.25" customHeight="1" spans="3:13">
      <c r="C53" s="1271"/>
      <c r="D53" s="1272"/>
      <c r="E53" s="1273"/>
      <c r="F53" s="1274"/>
      <c r="G53" s="1274"/>
      <c r="H53" s="1274"/>
      <c r="I53" s="1274"/>
      <c r="J53" s="1274"/>
      <c r="K53" s="1274"/>
      <c r="L53" s="1274"/>
      <c r="M53" s="1275"/>
    </row>
    <row r="54" ht="20.25" customHeight="1" spans="3:13">
      <c r="C54" s="1268" t="s">
        <v>99</v>
      </c>
      <c r="D54" s="1269"/>
      <c r="E54" s="1270" t="s">
        <v>100</v>
      </c>
      <c r="F54" s="1266"/>
      <c r="G54" s="1266"/>
      <c r="H54" s="1266"/>
      <c r="I54" s="1266"/>
      <c r="J54" s="1266"/>
      <c r="K54" s="1266"/>
      <c r="L54" s="1266"/>
      <c r="M54" s="1267"/>
    </row>
    <row r="55" ht="20.25" customHeight="1" spans="3:13">
      <c r="C55" s="1276"/>
      <c r="D55" s="1277"/>
      <c r="E55" s="1278"/>
      <c r="F55" s="1279"/>
      <c r="G55" s="1279"/>
      <c r="H55" s="1279"/>
      <c r="I55" s="1279"/>
      <c r="J55" s="1279"/>
      <c r="K55" s="1279"/>
      <c r="L55" s="1279"/>
      <c r="M55" s="1280"/>
    </row>
    <row r="56" ht="20.25" customHeight="1" spans="3:13">
      <c r="C56" s="1271"/>
      <c r="D56" s="1272"/>
      <c r="E56" s="1273"/>
      <c r="F56" s="1274"/>
      <c r="G56" s="1274"/>
      <c r="H56" s="1274"/>
      <c r="I56" s="1274"/>
      <c r="J56" s="1274"/>
      <c r="K56" s="1274"/>
      <c r="L56" s="1274"/>
      <c r="M56" s="1275"/>
    </row>
    <row r="57" ht="20.25" customHeight="1" spans="3:13">
      <c r="C57" s="1268" t="s">
        <v>101</v>
      </c>
      <c r="D57" s="1269"/>
      <c r="E57" s="1270" t="s">
        <v>102</v>
      </c>
      <c r="F57" s="1266"/>
      <c r="G57" s="1266"/>
      <c r="H57" s="1266"/>
      <c r="I57" s="1266"/>
      <c r="J57" s="1266"/>
      <c r="K57" s="1266"/>
      <c r="L57" s="1266"/>
      <c r="M57" s="1267"/>
    </row>
    <row r="58" ht="20.25" customHeight="1" spans="3:13">
      <c r="C58" s="1276"/>
      <c r="D58" s="1277"/>
      <c r="E58" s="1278"/>
      <c r="F58" s="1279"/>
      <c r="G58" s="1279"/>
      <c r="H58" s="1279"/>
      <c r="I58" s="1279"/>
      <c r="J58" s="1279"/>
      <c r="K58" s="1279"/>
      <c r="L58" s="1279"/>
      <c r="M58" s="1280"/>
    </row>
    <row r="59" ht="20.25" customHeight="1" spans="3:13">
      <c r="C59" s="1271"/>
      <c r="D59" s="1272"/>
      <c r="E59" s="1273"/>
      <c r="F59" s="1274"/>
      <c r="G59" s="1274"/>
      <c r="H59" s="1274"/>
      <c r="I59" s="1274"/>
      <c r="J59" s="1274"/>
      <c r="K59" s="1274"/>
      <c r="L59" s="1274"/>
      <c r="M59" s="1275"/>
    </row>
    <row r="60" ht="20.25" customHeight="1" spans="3:13">
      <c r="C60" s="1264" t="s">
        <v>103</v>
      </c>
      <c r="D60" s="1265"/>
      <c r="E60" s="1265" t="s">
        <v>92</v>
      </c>
      <c r="F60" s="1265"/>
      <c r="G60" s="1265"/>
      <c r="H60" s="1265"/>
      <c r="I60" s="1265"/>
      <c r="J60" s="1265"/>
      <c r="K60" s="1265"/>
      <c r="L60" s="1265"/>
      <c r="M60" s="1281"/>
    </row>
    <row r="61" ht="33" customHeight="1" spans="3:13">
      <c r="C61" s="1282" t="s">
        <v>104</v>
      </c>
      <c r="D61" s="1249"/>
      <c r="E61" s="1249"/>
      <c r="F61" s="1249"/>
      <c r="G61" s="1249"/>
      <c r="H61" s="1249"/>
      <c r="I61" s="1249"/>
      <c r="J61" s="1249"/>
      <c r="K61" s="1249"/>
      <c r="L61" s="1249"/>
      <c r="M61" s="1283"/>
    </row>
    <row r="62" ht="35.5" customHeight="1" spans="3:13">
      <c r="C62" s="1282" t="s">
        <v>105</v>
      </c>
      <c r="D62" s="1249"/>
      <c r="E62" s="1249"/>
      <c r="F62" s="1249"/>
      <c r="G62" s="1249"/>
      <c r="H62" s="1249"/>
      <c r="I62" s="1249"/>
      <c r="J62" s="1249"/>
      <c r="K62" s="1249"/>
      <c r="L62" s="1249"/>
      <c r="M62" s="1283"/>
    </row>
    <row r="63" ht="35.5" customHeight="1" spans="3:13">
      <c r="C63" s="1282" t="s">
        <v>106</v>
      </c>
      <c r="D63" s="1249"/>
      <c r="E63" s="1249"/>
      <c r="F63" s="1249"/>
      <c r="G63" s="1249"/>
      <c r="H63" s="1249"/>
      <c r="I63" s="1249"/>
      <c r="J63" s="1249"/>
      <c r="K63" s="1249"/>
      <c r="L63" s="1249"/>
      <c r="M63" s="1283"/>
    </row>
    <row r="64" s="1197" customFormat="1" ht="47.5" customHeight="1" spans="3:13">
      <c r="C64" s="1284" t="s">
        <v>107</v>
      </c>
      <c r="D64" s="1285"/>
      <c r="E64" s="1285"/>
      <c r="F64" s="1285"/>
      <c r="G64" s="1286"/>
      <c r="H64" s="1287" t="s">
        <v>108</v>
      </c>
      <c r="I64" s="1285"/>
      <c r="J64" s="1285"/>
      <c r="K64" s="1285"/>
      <c r="L64" s="1285"/>
      <c r="M64" s="1288"/>
    </row>
  </sheetData>
  <mergeCells count="53">
    <mergeCell ref="C3:M3"/>
    <mergeCell ref="C8:M8"/>
    <mergeCell ref="C25:M25"/>
    <mergeCell ref="C26:M26"/>
    <mergeCell ref="C27:M27"/>
    <mergeCell ref="C28:M28"/>
    <mergeCell ref="C29:E29"/>
    <mergeCell ref="F29:H29"/>
    <mergeCell ref="I29:K29"/>
    <mergeCell ref="L29:M29"/>
    <mergeCell ref="C30:E30"/>
    <mergeCell ref="F30:H30"/>
    <mergeCell ref="I30:K30"/>
    <mergeCell ref="L30:M30"/>
    <mergeCell ref="C31:M31"/>
    <mergeCell ref="C38:E38"/>
    <mergeCell ref="F38:M38"/>
    <mergeCell ref="C45:M45"/>
    <mergeCell ref="C46:D46"/>
    <mergeCell ref="E46:M46"/>
    <mergeCell ref="C47:D47"/>
    <mergeCell ref="E47:M47"/>
    <mergeCell ref="C60:D60"/>
    <mergeCell ref="E60:M60"/>
    <mergeCell ref="C61:M61"/>
    <mergeCell ref="C62:M62"/>
    <mergeCell ref="C63:M63"/>
    <mergeCell ref="C64:G64"/>
    <mergeCell ref="H64:M64"/>
    <mergeCell ref="C34:E35"/>
    <mergeCell ref="F34:M35"/>
    <mergeCell ref="C50:D51"/>
    <mergeCell ref="E50:M51"/>
    <mergeCell ref="C48:D49"/>
    <mergeCell ref="E48:M49"/>
    <mergeCell ref="C39:E40"/>
    <mergeCell ref="F39:M40"/>
    <mergeCell ref="C41:E42"/>
    <mergeCell ref="F41:M42"/>
    <mergeCell ref="C43:E44"/>
    <mergeCell ref="F43:M44"/>
    <mergeCell ref="C4:M7"/>
    <mergeCell ref="C23:M24"/>
    <mergeCell ref="C36:E37"/>
    <mergeCell ref="F36:M37"/>
    <mergeCell ref="C52:D53"/>
    <mergeCell ref="E52:M53"/>
    <mergeCell ref="C54:D56"/>
    <mergeCell ref="E54:M56"/>
    <mergeCell ref="C57:D59"/>
    <mergeCell ref="E57:M59"/>
    <mergeCell ref="C32:E33"/>
    <mergeCell ref="F32:M33"/>
  </mergeCells>
  <pageMargins left="0.7" right="0.7"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82"/>
  <sheetViews>
    <sheetView topLeftCell="A11" workbookViewId="0">
      <selection activeCell="G11" sqref="G11"/>
    </sheetView>
  </sheetViews>
  <sheetFormatPr defaultColWidth="9" defaultRowHeight="13" outlineLevelCol="4"/>
  <cols>
    <col min="1" max="1" width="4.36363636363636" style="1176" customWidth="1"/>
    <col min="2" max="2" width="5.72727272727273" style="1176" customWidth="1"/>
    <col min="3" max="3" width="46.7272727272727" style="1176" customWidth="1"/>
    <col min="4" max="4" width="34" style="1176" customWidth="1"/>
    <col min="5" max="5" width="52.0909090909091" style="1177" customWidth="1"/>
    <col min="6" max="16384" width="9" style="1176"/>
  </cols>
  <sheetData>
    <row r="2" ht="13.75" spans="2:5">
      <c r="B2" s="1178"/>
      <c r="C2" s="1178"/>
      <c r="D2" s="1178"/>
      <c r="E2" s="1178"/>
    </row>
    <row r="3" ht="31.4" customHeight="1" spans="2:5">
      <c r="B3" s="1179" t="s">
        <v>109</v>
      </c>
      <c r="C3" s="1180"/>
      <c r="D3" s="1180"/>
      <c r="E3" s="1181"/>
    </row>
    <row r="4" ht="33.65" customHeight="1" spans="2:5">
      <c r="B4" s="1182" t="s">
        <v>110</v>
      </c>
      <c r="C4" s="1183" t="s">
        <v>111</v>
      </c>
      <c r="D4" s="1183" t="s">
        <v>112</v>
      </c>
      <c r="E4" s="1184" t="s">
        <v>113</v>
      </c>
    </row>
    <row r="5" ht="35.15" customHeight="1" spans="2:5">
      <c r="B5" s="1185">
        <v>1</v>
      </c>
      <c r="C5" s="1186" t="s">
        <v>114</v>
      </c>
      <c r="D5" s="1186" t="s">
        <v>115</v>
      </c>
      <c r="E5" s="1187" t="s">
        <v>116</v>
      </c>
    </row>
    <row r="6" ht="35.15" customHeight="1" spans="2:5">
      <c r="B6" s="1188">
        <v>2</v>
      </c>
      <c r="C6" s="1189" t="s">
        <v>117</v>
      </c>
      <c r="D6" s="1189" t="s">
        <v>115</v>
      </c>
      <c r="E6" s="1190" t="s">
        <v>116</v>
      </c>
    </row>
    <row r="7" ht="35.15" customHeight="1" spans="2:5">
      <c r="B7" s="1185">
        <v>3</v>
      </c>
      <c r="C7" s="1189" t="s">
        <v>118</v>
      </c>
      <c r="D7" s="1189" t="s">
        <v>115</v>
      </c>
      <c r="E7" s="1190" t="s">
        <v>116</v>
      </c>
    </row>
    <row r="8" ht="35.15" customHeight="1" spans="2:5">
      <c r="B8" s="1188">
        <v>4</v>
      </c>
      <c r="C8" s="1189" t="s">
        <v>119</v>
      </c>
      <c r="D8" s="1189" t="s">
        <v>115</v>
      </c>
      <c r="E8" s="1190" t="s">
        <v>120</v>
      </c>
    </row>
    <row r="9" ht="35.15" customHeight="1" spans="2:5">
      <c r="B9" s="1185">
        <v>5</v>
      </c>
      <c r="C9" s="1189" t="s">
        <v>121</v>
      </c>
      <c r="D9" s="1191" t="s">
        <v>115</v>
      </c>
      <c r="E9" s="1190" t="s">
        <v>122</v>
      </c>
    </row>
    <row r="10" ht="35.15" customHeight="1" spans="2:5">
      <c r="B10" s="1188">
        <v>6</v>
      </c>
      <c r="C10" s="1189" t="s">
        <v>123</v>
      </c>
      <c r="D10" s="1191" t="s">
        <v>124</v>
      </c>
      <c r="E10" s="1190" t="s">
        <v>125</v>
      </c>
    </row>
    <row r="11" ht="35.15" customHeight="1" spans="2:5">
      <c r="B11" s="1185">
        <v>7</v>
      </c>
      <c r="C11" s="1189" t="s">
        <v>126</v>
      </c>
      <c r="D11" s="1191" t="s">
        <v>127</v>
      </c>
      <c r="E11" s="1190" t="s">
        <v>125</v>
      </c>
    </row>
    <row r="12" ht="35.15" customHeight="1" spans="2:5">
      <c r="B12" s="1185">
        <v>8</v>
      </c>
      <c r="C12" s="1189"/>
      <c r="D12" s="1189" t="s">
        <v>128</v>
      </c>
      <c r="E12" s="1190" t="s">
        <v>129</v>
      </c>
    </row>
    <row r="13" ht="35.15" customHeight="1" spans="2:5">
      <c r="B13" s="1188">
        <v>9</v>
      </c>
      <c r="C13" s="1189"/>
      <c r="D13" s="1176" t="s">
        <v>130</v>
      </c>
      <c r="E13" s="1190" t="s">
        <v>125</v>
      </c>
    </row>
    <row r="14" ht="35.15" customHeight="1" spans="2:5">
      <c r="B14" s="1185">
        <v>10</v>
      </c>
      <c r="C14" s="1189" t="s">
        <v>131</v>
      </c>
      <c r="D14" s="1189" t="s">
        <v>132</v>
      </c>
      <c r="E14" s="1190" t="s">
        <v>125</v>
      </c>
    </row>
    <row r="15" ht="35.15" customHeight="1" spans="2:5">
      <c r="B15" s="1188">
        <v>11</v>
      </c>
      <c r="C15" s="1189"/>
      <c r="D15" s="1189" t="s">
        <v>133</v>
      </c>
      <c r="E15" s="1190" t="s">
        <v>129</v>
      </c>
    </row>
    <row r="16" ht="35.15" customHeight="1" spans="2:5">
      <c r="B16" s="1185">
        <v>12</v>
      </c>
      <c r="C16" s="1189"/>
      <c r="D16" s="1189" t="s">
        <v>134</v>
      </c>
      <c r="E16" s="1190" t="s">
        <v>129</v>
      </c>
    </row>
    <row r="17" ht="35.15" customHeight="1" spans="2:5">
      <c r="B17" s="1188">
        <v>13</v>
      </c>
      <c r="C17" s="1189"/>
      <c r="D17" s="1189" t="s">
        <v>135</v>
      </c>
      <c r="E17" s="1190" t="s">
        <v>129</v>
      </c>
    </row>
    <row r="18" ht="35.15" customHeight="1" spans="2:5">
      <c r="B18" s="1185">
        <v>14</v>
      </c>
      <c r="C18" s="1189"/>
      <c r="D18" s="1189" t="s">
        <v>136</v>
      </c>
      <c r="E18" s="1190" t="s">
        <v>129</v>
      </c>
    </row>
    <row r="19" ht="35.15" customHeight="1" spans="2:5">
      <c r="B19" s="1185">
        <v>15</v>
      </c>
      <c r="C19" s="1189" t="s">
        <v>137</v>
      </c>
      <c r="D19" s="1189" t="s">
        <v>138</v>
      </c>
      <c r="E19" s="1190" t="s">
        <v>129</v>
      </c>
    </row>
    <row r="20" ht="35.15" customHeight="1" spans="2:5">
      <c r="B20" s="1188">
        <v>16</v>
      </c>
      <c r="C20" s="1189"/>
      <c r="D20" s="1189" t="s">
        <v>139</v>
      </c>
      <c r="E20" s="1190" t="s">
        <v>129</v>
      </c>
    </row>
    <row r="21" ht="35.15" customHeight="1" spans="2:5">
      <c r="B21" s="1185">
        <v>17</v>
      </c>
      <c r="C21" s="1189"/>
      <c r="D21" s="1189" t="s">
        <v>140</v>
      </c>
      <c r="E21" s="1190" t="s">
        <v>129</v>
      </c>
    </row>
    <row r="22" ht="35.15" customHeight="1" spans="2:5">
      <c r="B22" s="1188">
        <v>18</v>
      </c>
      <c r="C22" s="1189"/>
      <c r="D22" s="1189" t="s">
        <v>141</v>
      </c>
      <c r="E22" s="1190" t="s">
        <v>129</v>
      </c>
    </row>
    <row r="23" ht="35.15" customHeight="1" spans="2:5">
      <c r="B23" s="1185">
        <v>19</v>
      </c>
      <c r="C23" s="1189" t="s">
        <v>142</v>
      </c>
      <c r="D23" s="1189" t="s">
        <v>143</v>
      </c>
      <c r="E23" s="1190" t="s">
        <v>144</v>
      </c>
    </row>
    <row r="24" spans="2:5">
      <c r="B24" s="1188"/>
      <c r="C24" s="1189"/>
      <c r="D24" s="1189"/>
      <c r="E24" s="1190"/>
    </row>
    <row r="25" spans="2:5">
      <c r="B25" s="1188"/>
      <c r="C25" s="1189"/>
      <c r="D25" s="1189"/>
      <c r="E25" s="1190"/>
    </row>
    <row r="26" ht="13.75" spans="2:5">
      <c r="B26" s="1192"/>
      <c r="C26" s="1193"/>
      <c r="D26" s="1193"/>
      <c r="E26" s="1194"/>
    </row>
    <row r="27" spans="2:5">
      <c r="B27" s="1195"/>
      <c r="C27" s="1195"/>
      <c r="D27" s="1195"/>
      <c r="E27" s="1196"/>
    </row>
    <row r="28" spans="2:5">
      <c r="B28" s="1195"/>
      <c r="C28" s="1195"/>
      <c r="D28" s="1195"/>
      <c r="E28" s="1196"/>
    </row>
    <row r="29" spans="2:5">
      <c r="B29" s="1195"/>
      <c r="C29" s="1195"/>
      <c r="D29" s="1195"/>
      <c r="E29" s="1196"/>
    </row>
    <row r="30" spans="2:5">
      <c r="B30" s="1195"/>
      <c r="C30" s="1195"/>
      <c r="D30" s="1195"/>
      <c r="E30" s="1196"/>
    </row>
    <row r="31" spans="2:5">
      <c r="B31" s="1195"/>
      <c r="C31" s="1195"/>
      <c r="D31" s="1195"/>
      <c r="E31" s="1196"/>
    </row>
    <row r="32" spans="2:5">
      <c r="B32" s="1195"/>
      <c r="C32" s="1195"/>
      <c r="D32" s="1195"/>
      <c r="E32" s="1196"/>
    </row>
    <row r="33" spans="2:5">
      <c r="B33" s="1195"/>
      <c r="C33" s="1195"/>
      <c r="D33" s="1195"/>
      <c r="E33" s="1196"/>
    </row>
    <row r="34" spans="2:5">
      <c r="B34" s="1195"/>
      <c r="C34" s="1195"/>
      <c r="D34" s="1195"/>
      <c r="E34" s="1196"/>
    </row>
    <row r="35" spans="2:5">
      <c r="B35" s="1195"/>
      <c r="C35" s="1195"/>
      <c r="D35" s="1195"/>
      <c r="E35" s="1196"/>
    </row>
    <row r="36" spans="2:5">
      <c r="B36" s="1195"/>
      <c r="C36" s="1195"/>
      <c r="D36" s="1195"/>
      <c r="E36" s="1196"/>
    </row>
    <row r="37" spans="2:5">
      <c r="B37" s="1195"/>
      <c r="C37" s="1195"/>
      <c r="D37" s="1195"/>
      <c r="E37" s="1196"/>
    </row>
    <row r="38" spans="2:5">
      <c r="B38" s="1195"/>
      <c r="C38" s="1195"/>
      <c r="D38" s="1195"/>
      <c r="E38" s="1196"/>
    </row>
    <row r="39" spans="2:5">
      <c r="B39" s="1195"/>
      <c r="C39" s="1195"/>
      <c r="D39" s="1195"/>
      <c r="E39" s="1196"/>
    </row>
    <row r="40" spans="2:5">
      <c r="B40" s="1195"/>
      <c r="C40" s="1195"/>
      <c r="D40" s="1195"/>
      <c r="E40" s="1196"/>
    </row>
    <row r="41" spans="2:5">
      <c r="B41" s="1195"/>
      <c r="C41" s="1195"/>
      <c r="D41" s="1195"/>
      <c r="E41" s="1196"/>
    </row>
    <row r="42" spans="2:5">
      <c r="B42" s="1195"/>
      <c r="C42" s="1195"/>
      <c r="D42" s="1195"/>
      <c r="E42" s="1196"/>
    </row>
    <row r="43" spans="2:5">
      <c r="B43" s="1195"/>
      <c r="C43" s="1195"/>
      <c r="D43" s="1195"/>
      <c r="E43" s="1196"/>
    </row>
    <row r="44" spans="2:5">
      <c r="B44" s="1195"/>
      <c r="C44" s="1195"/>
      <c r="D44" s="1195"/>
      <c r="E44" s="1196"/>
    </row>
    <row r="45" spans="2:5">
      <c r="B45" s="1195"/>
      <c r="C45" s="1195"/>
      <c r="D45" s="1195"/>
      <c r="E45" s="1196"/>
    </row>
    <row r="46" spans="2:5">
      <c r="B46" s="1195"/>
      <c r="C46" s="1195"/>
      <c r="D46" s="1195"/>
      <c r="E46" s="1196"/>
    </row>
    <row r="47" spans="2:5">
      <c r="B47" s="1195"/>
      <c r="C47" s="1195"/>
      <c r="D47" s="1195"/>
      <c r="E47" s="1196"/>
    </row>
    <row r="48" spans="2:5">
      <c r="B48" s="1195"/>
      <c r="C48" s="1195"/>
      <c r="D48" s="1195"/>
      <c r="E48" s="1196"/>
    </row>
    <row r="49" spans="2:5">
      <c r="B49" s="1195"/>
      <c r="C49" s="1195"/>
      <c r="D49" s="1195"/>
      <c r="E49" s="1196"/>
    </row>
    <row r="50" spans="2:5">
      <c r="B50" s="1195"/>
      <c r="C50" s="1195"/>
      <c r="D50" s="1195"/>
      <c r="E50" s="1196"/>
    </row>
    <row r="51" spans="2:5">
      <c r="B51" s="1195"/>
      <c r="C51" s="1195"/>
      <c r="D51" s="1195"/>
      <c r="E51" s="1196"/>
    </row>
    <row r="52" spans="2:5">
      <c r="B52" s="1195"/>
      <c r="C52" s="1195"/>
      <c r="D52" s="1195"/>
      <c r="E52" s="1196"/>
    </row>
    <row r="53" spans="2:5">
      <c r="B53" s="1195"/>
      <c r="C53" s="1195"/>
      <c r="D53" s="1195"/>
      <c r="E53" s="1196"/>
    </row>
    <row r="54" spans="2:5">
      <c r="B54" s="1195"/>
      <c r="C54" s="1195"/>
      <c r="D54" s="1195"/>
      <c r="E54" s="1196"/>
    </row>
    <row r="55" spans="2:5">
      <c r="B55" s="1195"/>
      <c r="C55" s="1195"/>
      <c r="D55" s="1195"/>
      <c r="E55" s="1196"/>
    </row>
    <row r="56" spans="2:5">
      <c r="B56" s="1195"/>
      <c r="C56" s="1195"/>
      <c r="D56" s="1195"/>
      <c r="E56" s="1196"/>
    </row>
    <row r="57" spans="2:5">
      <c r="B57" s="1195"/>
      <c r="C57" s="1195"/>
      <c r="D57" s="1195"/>
      <c r="E57" s="1196"/>
    </row>
    <row r="58" spans="2:5">
      <c r="B58" s="1195"/>
      <c r="C58" s="1195"/>
      <c r="D58" s="1195"/>
      <c r="E58" s="1196"/>
    </row>
    <row r="59" spans="2:5">
      <c r="B59" s="1195"/>
      <c r="C59" s="1195"/>
      <c r="D59" s="1195"/>
      <c r="E59" s="1196"/>
    </row>
    <row r="60" spans="2:5">
      <c r="B60" s="1195"/>
      <c r="C60" s="1195"/>
      <c r="D60" s="1195"/>
      <c r="E60" s="1196"/>
    </row>
    <row r="61" spans="2:5">
      <c r="B61" s="1195"/>
      <c r="C61" s="1195"/>
      <c r="D61" s="1195"/>
      <c r="E61" s="1196"/>
    </row>
    <row r="62" spans="2:5">
      <c r="B62" s="1195"/>
      <c r="C62" s="1195"/>
      <c r="D62" s="1195"/>
      <c r="E62" s="1196"/>
    </row>
    <row r="63" spans="2:5">
      <c r="B63" s="1195"/>
      <c r="C63" s="1195"/>
      <c r="D63" s="1195"/>
      <c r="E63" s="1196"/>
    </row>
    <row r="64" spans="2:5">
      <c r="B64" s="1195"/>
      <c r="C64" s="1195"/>
      <c r="D64" s="1195"/>
      <c r="E64" s="1196"/>
    </row>
    <row r="65" spans="2:5">
      <c r="B65" s="1195"/>
      <c r="C65" s="1195"/>
      <c r="D65" s="1195"/>
      <c r="E65" s="1196"/>
    </row>
    <row r="66" spans="2:5">
      <c r="B66" s="1195"/>
      <c r="C66" s="1195"/>
      <c r="D66" s="1195"/>
      <c r="E66" s="1196"/>
    </row>
    <row r="67" spans="2:5">
      <c r="B67" s="1195"/>
      <c r="C67" s="1195"/>
      <c r="D67" s="1195"/>
      <c r="E67" s="1196"/>
    </row>
    <row r="68" spans="2:5">
      <c r="B68" s="1195"/>
      <c r="C68" s="1195"/>
      <c r="D68" s="1195"/>
      <c r="E68" s="1196"/>
    </row>
    <row r="69" spans="2:5">
      <c r="B69" s="1195"/>
      <c r="C69" s="1195"/>
      <c r="D69" s="1195"/>
      <c r="E69" s="1196"/>
    </row>
    <row r="70" spans="2:5">
      <c r="B70" s="1195"/>
      <c r="C70" s="1195"/>
      <c r="D70" s="1195"/>
      <c r="E70" s="1196"/>
    </row>
    <row r="71" spans="2:5">
      <c r="B71" s="1195"/>
      <c r="C71" s="1195"/>
      <c r="D71" s="1195"/>
      <c r="E71" s="1196"/>
    </row>
    <row r="72" spans="2:5">
      <c r="B72" s="1195"/>
      <c r="C72" s="1195"/>
      <c r="D72" s="1195"/>
      <c r="E72" s="1196"/>
    </row>
    <row r="73" spans="2:5">
      <c r="B73" s="1195"/>
      <c r="C73" s="1195"/>
      <c r="D73" s="1195"/>
      <c r="E73" s="1196"/>
    </row>
    <row r="74" spans="2:5">
      <c r="B74" s="1195"/>
      <c r="C74" s="1195"/>
      <c r="D74" s="1195"/>
      <c r="E74" s="1196"/>
    </row>
    <row r="75" spans="2:5">
      <c r="B75" s="1195"/>
      <c r="C75" s="1195"/>
      <c r="D75" s="1195"/>
      <c r="E75" s="1196"/>
    </row>
    <row r="76" spans="2:5">
      <c r="B76" s="1195"/>
      <c r="C76" s="1195"/>
      <c r="D76" s="1195"/>
      <c r="E76" s="1196"/>
    </row>
    <row r="77" spans="2:5">
      <c r="B77" s="1195"/>
      <c r="C77" s="1195"/>
      <c r="D77" s="1195"/>
      <c r="E77" s="1196"/>
    </row>
    <row r="78" spans="2:5">
      <c r="B78" s="1195"/>
      <c r="C78" s="1195"/>
      <c r="D78" s="1195"/>
      <c r="E78" s="1196"/>
    </row>
    <row r="79" spans="2:5">
      <c r="B79" s="1195"/>
      <c r="C79" s="1195"/>
      <c r="D79" s="1195"/>
      <c r="E79" s="1196"/>
    </row>
    <row r="80" spans="2:5">
      <c r="B80" s="1195"/>
      <c r="C80" s="1195"/>
      <c r="D80" s="1195"/>
      <c r="E80" s="1196"/>
    </row>
    <row r="81" spans="2:5">
      <c r="B81" s="1195"/>
      <c r="C81" s="1195"/>
      <c r="D81" s="1195"/>
      <c r="E81" s="1196"/>
    </row>
    <row r="82" spans="2:5">
      <c r="B82" s="1195"/>
      <c r="C82" s="1195"/>
      <c r="D82" s="1195"/>
      <c r="E82" s="1196"/>
    </row>
  </sheetData>
  <mergeCells count="5">
    <mergeCell ref="B2:E2"/>
    <mergeCell ref="B3:E3"/>
    <mergeCell ref="C11:C13"/>
    <mergeCell ref="C14:C18"/>
    <mergeCell ref="C19:C22"/>
  </mergeCells>
  <conditionalFormatting sqref="D4:D8">
    <cfRule type="cellIs" dxfId="0" priority="81" stopIfTrue="1" operator="equal">
      <formula>"High"</formula>
    </cfRule>
    <cfRule type="cellIs" dxfId="1" priority="82" stopIfTrue="1" operator="equal">
      <formula>"Mid"</formula>
    </cfRule>
    <cfRule type="cellIs" dxfId="2" priority="83" stopIfTrue="1" operator="equal">
      <formula>"Low"</formula>
    </cfRule>
  </conditionalFormatting>
  <conditionalFormatting sqref="D1 D12 D14:D65540">
    <cfRule type="cellIs" dxfId="0" priority="84" stopIfTrue="1" operator="equal">
      <formula>"High"</formula>
    </cfRule>
    <cfRule type="cellIs" dxfId="1" priority="85" stopIfTrue="1" operator="equal">
      <formula>"Mid"</formula>
    </cfRule>
    <cfRule type="cellIs" dxfId="2" priority="86" stopIfTrue="1" operator="equal">
      <formula>"Low"</formula>
    </cfRule>
  </conditionalFormatting>
  <dataValidations count="1">
    <dataValidation type="list" allowBlank="1" showInputMessage="1" showErrorMessage="1" sqref="D27:D65540">
      <formula1>"High,Mid,Low"</formula1>
    </dataValidation>
  </dataValidations>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L37"/>
  <sheetViews>
    <sheetView showGridLines="0" zoomScale="85" zoomScaleNormal="85" workbookViewId="0">
      <selection activeCell="J33" sqref="J33"/>
    </sheetView>
  </sheetViews>
  <sheetFormatPr defaultColWidth="9" defaultRowHeight="15"/>
  <cols>
    <col min="1" max="1" width="2" style="1110" customWidth="1"/>
    <col min="2" max="2" width="1.90909090909091" style="1110" customWidth="1"/>
    <col min="3" max="4" width="8.63636363636364" style="1110" customWidth="1"/>
    <col min="5" max="5" width="9.72727272727273" style="1110" customWidth="1"/>
    <col min="6" max="6" width="9.63636363636364" style="1110" customWidth="1"/>
    <col min="7" max="7" width="10.4545454545455" style="1110" customWidth="1"/>
    <col min="8" max="8" width="8.63636363636364" style="1110" customWidth="1"/>
    <col min="9" max="9" width="9.45454545454546" style="1110" customWidth="1"/>
    <col min="10" max="11" width="8.63636363636364" style="1110" customWidth="1"/>
    <col min="12" max="12" width="2.09090909090909" style="1110" customWidth="1"/>
    <col min="13" max="16384" width="9" style="1110"/>
  </cols>
  <sheetData>
    <row r="2" ht="9" customHeight="1" spans="2:12">
      <c r="B2" s="1111"/>
      <c r="C2" s="1112"/>
      <c r="D2" s="1112"/>
      <c r="E2" s="1112"/>
      <c r="F2" s="1112"/>
      <c r="G2" s="1112"/>
      <c r="H2" s="1112"/>
      <c r="I2" s="1112"/>
      <c r="J2" s="1112"/>
      <c r="K2" s="1112"/>
      <c r="L2" s="1113"/>
    </row>
    <row r="3" ht="15.65" customHeight="1" spans="2:12">
      <c r="B3" s="1114"/>
      <c r="C3" s="1115" t="s">
        <v>145</v>
      </c>
      <c r="D3" s="1116"/>
      <c r="E3" s="1117"/>
      <c r="F3" s="1118"/>
      <c r="G3" s="1119"/>
      <c r="H3" s="1120" t="s">
        <v>146</v>
      </c>
      <c r="I3" s="1121"/>
      <c r="J3" s="1122" t="s">
        <v>147</v>
      </c>
      <c r="K3" s="1123"/>
      <c r="L3" s="1124"/>
    </row>
    <row r="4" ht="23" spans="2:12">
      <c r="B4" s="1114"/>
      <c r="C4" s="1125"/>
      <c r="D4" s="1126"/>
      <c r="E4" s="1127"/>
      <c r="F4" s="1128"/>
      <c r="G4" s="1129"/>
      <c r="H4" s="1130"/>
      <c r="I4" s="1126"/>
      <c r="J4" s="1131"/>
      <c r="K4" s="1132"/>
      <c r="L4" s="1133"/>
    </row>
    <row r="5" ht="20.25" customHeight="1" spans="2:12">
      <c r="B5" s="1114"/>
      <c r="C5" s="1134" t="s">
        <v>148</v>
      </c>
      <c r="D5" s="1121"/>
      <c r="E5" s="1135"/>
      <c r="F5" s="1136"/>
      <c r="G5" s="1137"/>
      <c r="H5" s="1138" t="s">
        <v>149</v>
      </c>
      <c r="I5" s="1139"/>
      <c r="J5" s="1135"/>
      <c r="K5" s="1140"/>
      <c r="L5" s="1133"/>
    </row>
    <row r="6" ht="21" customHeight="1" spans="2:12">
      <c r="B6" s="1114"/>
      <c r="C6" s="1125"/>
      <c r="D6" s="1126"/>
      <c r="E6" s="1127"/>
      <c r="F6" s="1128"/>
      <c r="G6" s="1129"/>
      <c r="H6" s="1141"/>
      <c r="I6" s="1142"/>
      <c r="J6" s="1127"/>
      <c r="K6" s="1143"/>
      <c r="L6" s="1133"/>
    </row>
    <row r="7" ht="15.65" customHeight="1" spans="2:12">
      <c r="B7" s="1144"/>
      <c r="C7" s="1138" t="s">
        <v>150</v>
      </c>
      <c r="D7" s="1139"/>
      <c r="E7" s="1117"/>
      <c r="F7" s="1118"/>
      <c r="G7" s="1119"/>
      <c r="H7" s="1120" t="s">
        <v>151</v>
      </c>
      <c r="I7" s="1121"/>
      <c r="J7" s="1145"/>
      <c r="K7" s="1146"/>
      <c r="L7" s="1147"/>
    </row>
    <row r="8" ht="23.75" spans="2:12">
      <c r="B8" s="1144"/>
      <c r="C8" s="1148"/>
      <c r="D8" s="1149"/>
      <c r="E8" s="1150"/>
      <c r="F8" s="1151"/>
      <c r="G8" s="1152"/>
      <c r="H8" s="1153"/>
      <c r="I8" s="1154"/>
      <c r="J8" s="1155"/>
      <c r="K8" s="1156"/>
      <c r="L8" s="1157"/>
    </row>
    <row r="9" ht="15.65" customHeight="1" spans="2:12">
      <c r="B9" s="1114"/>
      <c r="C9" s="1158"/>
      <c r="E9" s="1159"/>
      <c r="F9" s="1159"/>
      <c r="G9" s="1159"/>
      <c r="H9" s="1159"/>
      <c r="I9" s="1159"/>
      <c r="J9" s="1159"/>
      <c r="K9" s="1158"/>
      <c r="L9" s="1160"/>
    </row>
    <row r="10" ht="15.65" customHeight="1" spans="2:12">
      <c r="B10" s="1114"/>
      <c r="C10" s="1158"/>
      <c r="D10" s="1159"/>
      <c r="E10" s="1159"/>
      <c r="F10" s="1159"/>
      <c r="G10" s="1159"/>
      <c r="H10" s="1159"/>
      <c r="I10" s="1159"/>
      <c r="J10" s="1159"/>
      <c r="K10" s="1158"/>
      <c r="L10" s="1160"/>
    </row>
    <row r="11" ht="15.65" customHeight="1" spans="2:12">
      <c r="B11" s="1114"/>
      <c r="C11" s="1161" t="s">
        <v>152</v>
      </c>
      <c r="D11" s="1161"/>
      <c r="E11" s="1161"/>
      <c r="F11" s="1161"/>
      <c r="G11" s="1161"/>
      <c r="H11" s="1161"/>
      <c r="I11" s="1161"/>
      <c r="J11" s="1161"/>
      <c r="K11" s="1161"/>
      <c r="L11" s="1162"/>
    </row>
    <row r="12" ht="15.65" customHeight="1" spans="2:12">
      <c r="B12" s="1114"/>
      <c r="C12" s="1161"/>
      <c r="D12" s="1161"/>
      <c r="E12" s="1161"/>
      <c r="F12" s="1161"/>
      <c r="G12" s="1161"/>
      <c r="H12" s="1161"/>
      <c r="I12" s="1161"/>
      <c r="J12" s="1161"/>
      <c r="K12" s="1161"/>
      <c r="L12" s="1162"/>
    </row>
    <row r="13" ht="15.65" customHeight="1" spans="2:12">
      <c r="B13" s="1114"/>
      <c r="C13" s="1161"/>
      <c r="D13" s="1161"/>
      <c r="E13" s="1161"/>
      <c r="F13" s="1161"/>
      <c r="G13" s="1161"/>
      <c r="H13" s="1161"/>
      <c r="I13" s="1161"/>
      <c r="J13" s="1161"/>
      <c r="K13" s="1161"/>
      <c r="L13" s="1162"/>
    </row>
    <row r="14" ht="15.65" customHeight="1" spans="2:12">
      <c r="B14" s="1114"/>
      <c r="C14" s="1158"/>
      <c r="D14" s="1159"/>
      <c r="E14" s="1159"/>
      <c r="F14" s="1159"/>
      <c r="G14" s="1159"/>
      <c r="H14" s="1159"/>
      <c r="I14" s="1159"/>
      <c r="J14" s="1159"/>
      <c r="K14" s="1158"/>
      <c r="L14" s="1160"/>
    </row>
    <row r="15" ht="15.65" customHeight="1" spans="2:12">
      <c r="B15" s="1114"/>
      <c r="C15" s="1163"/>
      <c r="D15" s="1159"/>
      <c r="E15" s="1159"/>
      <c r="F15" s="1159"/>
      <c r="G15" s="1159"/>
      <c r="H15" s="1159"/>
      <c r="I15" s="1159"/>
      <c r="J15" s="1159"/>
      <c r="K15" s="1158"/>
      <c r="L15" s="1160"/>
    </row>
    <row r="16" ht="15.65" customHeight="1" spans="2:12">
      <c r="B16" s="1114"/>
      <c r="C16" s="1164" t="s">
        <v>153</v>
      </c>
      <c r="D16" s="1164"/>
      <c r="E16" s="1164"/>
      <c r="F16" s="1164"/>
      <c r="G16" s="1164"/>
      <c r="H16" s="1164" t="s">
        <v>154</v>
      </c>
      <c r="I16" s="1164"/>
      <c r="J16" s="1164"/>
      <c r="K16" s="1164"/>
      <c r="L16" s="1165"/>
    </row>
    <row r="17" ht="15.65" customHeight="1" spans="2:12">
      <c r="B17" s="1114"/>
      <c r="C17" s="1164" t="s">
        <v>155</v>
      </c>
      <c r="D17" s="1164"/>
      <c r="E17" s="1166"/>
      <c r="F17" s="1166"/>
      <c r="G17" s="1166"/>
      <c r="H17" s="1164" t="s">
        <v>156</v>
      </c>
      <c r="I17" s="1166"/>
      <c r="J17" s="1166"/>
      <c r="K17" s="1166"/>
      <c r="L17" s="1165"/>
    </row>
    <row r="18" ht="15.65" customHeight="1" spans="2:12">
      <c r="B18" s="1114"/>
      <c r="C18" s="1164" t="s">
        <v>157</v>
      </c>
      <c r="D18" s="1164"/>
      <c r="E18" s="1167"/>
      <c r="F18" s="1167"/>
      <c r="G18" s="1167"/>
      <c r="H18" s="1164" t="s">
        <v>154</v>
      </c>
      <c r="I18" s="1167"/>
      <c r="J18" s="1167"/>
      <c r="K18" s="1167"/>
      <c r="L18" s="1165"/>
    </row>
    <row r="19" ht="15.65" customHeight="1" spans="2:12">
      <c r="B19" s="1114"/>
      <c r="C19" s="1164" t="s">
        <v>158</v>
      </c>
      <c r="D19" s="1164"/>
      <c r="E19" s="1166"/>
      <c r="F19" s="1166"/>
      <c r="G19" s="1166"/>
      <c r="H19" s="1164" t="s">
        <v>156</v>
      </c>
      <c r="I19" s="1166"/>
      <c r="J19" s="1166"/>
      <c r="K19" s="1166"/>
      <c r="L19" s="1165"/>
    </row>
    <row r="20" ht="15.65" customHeight="1" spans="2:12">
      <c r="B20" s="1114"/>
      <c r="C20" s="1164" t="s">
        <v>159</v>
      </c>
      <c r="D20" s="1164"/>
      <c r="E20" s="1167"/>
      <c r="F20" s="1167"/>
      <c r="G20" s="1167"/>
      <c r="H20" s="1164" t="s">
        <v>154</v>
      </c>
      <c r="I20" s="1167"/>
      <c r="J20" s="1167"/>
      <c r="K20" s="1167"/>
      <c r="L20" s="1165"/>
    </row>
    <row r="21" ht="15.65" customHeight="1" spans="2:12">
      <c r="B21" s="1114"/>
      <c r="C21" s="1164" t="s">
        <v>160</v>
      </c>
      <c r="D21" s="1164"/>
      <c r="E21" s="1166"/>
      <c r="F21" s="1166"/>
      <c r="G21" s="1166"/>
      <c r="H21" s="1164" t="s">
        <v>156</v>
      </c>
      <c r="I21" s="1166"/>
      <c r="J21" s="1166"/>
      <c r="K21" s="1166"/>
      <c r="L21" s="1165"/>
    </row>
    <row r="22" ht="15.65" customHeight="1" spans="2:12">
      <c r="B22" s="1114"/>
      <c r="C22" s="1164" t="s">
        <v>161</v>
      </c>
      <c r="D22" s="1164"/>
      <c r="E22" s="1167"/>
      <c r="F22" s="1167"/>
      <c r="G22" s="1167"/>
      <c r="H22" s="1164" t="s">
        <v>154</v>
      </c>
      <c r="I22" s="1167"/>
      <c r="J22" s="1167"/>
      <c r="K22" s="1167"/>
      <c r="L22" s="1165"/>
    </row>
    <row r="23" ht="15.65" customHeight="1" spans="2:12">
      <c r="B23" s="1114"/>
      <c r="C23" s="1164" t="s">
        <v>162</v>
      </c>
      <c r="D23" s="1164"/>
      <c r="E23" s="1166"/>
      <c r="F23" s="1166"/>
      <c r="G23" s="1166"/>
      <c r="H23" s="1164" t="s">
        <v>156</v>
      </c>
      <c r="I23" s="1166"/>
      <c r="J23" s="1166"/>
      <c r="K23" s="1166"/>
      <c r="L23" s="1165"/>
    </row>
    <row r="24" ht="15.65" customHeight="1" spans="2:12">
      <c r="B24" s="1114"/>
      <c r="H24" s="1168"/>
      <c r="I24" s="1168"/>
      <c r="J24" s="1168"/>
      <c r="K24" s="1169"/>
      <c r="L24" s="1160"/>
    </row>
    <row r="25" ht="15.65" customHeight="1" spans="2:12">
      <c r="B25" s="1114"/>
      <c r="H25" s="1168"/>
      <c r="I25" s="1168"/>
      <c r="J25" s="1168"/>
      <c r="K25" s="1158"/>
      <c r="L25" s="1160"/>
    </row>
    <row r="26" ht="15.65" customHeight="1" spans="2:12">
      <c r="B26" s="1114"/>
      <c r="H26" s="1168"/>
      <c r="I26" s="1168"/>
      <c r="J26" s="1168"/>
      <c r="K26" s="1158"/>
      <c r="L26" s="1160"/>
    </row>
    <row r="27" spans="2:12">
      <c r="B27" s="1114"/>
      <c r="L27" s="1170"/>
    </row>
    <row r="28" spans="2:12">
      <c r="B28" s="1114"/>
      <c r="L28" s="1170"/>
    </row>
    <row r="29" spans="2:12">
      <c r="B29" s="1114"/>
      <c r="L29" s="1170"/>
    </row>
    <row r="30" spans="2:12">
      <c r="B30" s="1114"/>
      <c r="G30" s="1171"/>
      <c r="L30" s="1170"/>
    </row>
    <row r="31" ht="21" spans="2:12">
      <c r="B31" s="1114"/>
      <c r="G31" s="1172" t="s">
        <v>163</v>
      </c>
      <c r="L31" s="1170"/>
    </row>
    <row r="32" ht="21" spans="2:12">
      <c r="B32" s="1114"/>
      <c r="G32" s="1172" t="s">
        <v>164</v>
      </c>
      <c r="L32" s="1170"/>
    </row>
    <row r="33" spans="2:12">
      <c r="B33" s="1114"/>
      <c r="G33" s="1171" t="s">
        <v>165</v>
      </c>
      <c r="L33" s="1170"/>
    </row>
    <row r="34" spans="2:12">
      <c r="B34" s="1114"/>
      <c r="G34" s="1171" t="s">
        <v>166</v>
      </c>
      <c r="L34" s="1170"/>
    </row>
    <row r="35" spans="2:12">
      <c r="B35" s="1114"/>
      <c r="L35" s="1170"/>
    </row>
    <row r="36" spans="2:12">
      <c r="B36" s="1114"/>
      <c r="L36" s="1170"/>
    </row>
    <row r="37" ht="15.75" spans="2:12">
      <c r="B37" s="1173"/>
      <c r="C37" s="1174"/>
      <c r="D37" s="1174"/>
      <c r="E37" s="1174"/>
      <c r="F37" s="1174"/>
      <c r="G37" s="1174"/>
      <c r="H37" s="1174"/>
      <c r="I37" s="1174"/>
      <c r="J37" s="1174"/>
      <c r="K37" s="1174"/>
      <c r="L37" s="1175"/>
    </row>
  </sheetData>
  <mergeCells count="29">
    <mergeCell ref="C16:D16"/>
    <mergeCell ref="C17:D17"/>
    <mergeCell ref="C18:D18"/>
    <mergeCell ref="C19:D19"/>
    <mergeCell ref="C20:D20"/>
    <mergeCell ref="C21:D21"/>
    <mergeCell ref="C22:D22"/>
    <mergeCell ref="C23:D23"/>
    <mergeCell ref="H3:I4"/>
    <mergeCell ref="J3:K4"/>
    <mergeCell ref="C5:D6"/>
    <mergeCell ref="E5:G6"/>
    <mergeCell ref="H7:I8"/>
    <mergeCell ref="J7:K8"/>
    <mergeCell ref="H5:I6"/>
    <mergeCell ref="J5:K6"/>
    <mergeCell ref="C3:D4"/>
    <mergeCell ref="C7:D8"/>
    <mergeCell ref="E7:G8"/>
    <mergeCell ref="E3:G4"/>
    <mergeCell ref="C11:K13"/>
    <mergeCell ref="E16:G17"/>
    <mergeCell ref="E18:G19"/>
    <mergeCell ref="I22:K23"/>
    <mergeCell ref="E20:G21"/>
    <mergeCell ref="E22:G23"/>
    <mergeCell ref="I16:K17"/>
    <mergeCell ref="I18:K19"/>
    <mergeCell ref="I20:K21"/>
  </mergeCells>
  <pageMargins left="0.75" right="0.75" top="1" bottom="1" header="0.5" footer="0.5"/>
  <pageSetup paperSize="9" fitToHeight="0" orientation="portrait"/>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4"/>
  <sheetViews>
    <sheetView zoomScale="160" zoomScaleNormal="160" workbookViewId="0">
      <selection activeCell="B23" sqref="B23"/>
    </sheetView>
  </sheetViews>
  <sheetFormatPr defaultColWidth="8.09090909090909" defaultRowHeight="13"/>
  <cols>
    <col min="1" max="1" width="28.9090909090909" style="1084" customWidth="1"/>
    <col min="2" max="2" width="62.9090909090909" style="1085" customWidth="1"/>
    <col min="3" max="3" width="13.6363636363636" style="1084" customWidth="1"/>
    <col min="4" max="8" width="10.0909090909091" style="1084" customWidth="1"/>
    <col min="9" max="9" width="10.6363636363636" style="1084" customWidth="1"/>
    <col min="10" max="16384" width="8.09090909090909" style="1084"/>
  </cols>
  <sheetData>
    <row r="1" ht="14.5" customHeight="1" spans="1:20">
      <c r="A1" s="1086" t="s">
        <v>167</v>
      </c>
      <c r="B1" s="1086"/>
      <c r="C1" s="1086"/>
    </row>
    <row r="2" spans="1:20">
      <c r="A2" s="1086"/>
      <c r="B2" s="1086"/>
      <c r="C2" s="1086"/>
    </row>
    <row r="3" spans="1:20">
      <c r="A3" s="1087"/>
      <c r="B3" s="1087"/>
      <c r="C3" s="1087"/>
    </row>
    <row r="4" ht="25.4" customHeight="1" spans="1:20">
      <c r="A4" s="1088" t="s">
        <v>168</v>
      </c>
      <c r="B4" s="1088"/>
      <c r="C4" s="1089" t="s">
        <v>169</v>
      </c>
      <c r="D4" s="1090"/>
      <c r="E4" s="1090"/>
      <c r="F4" s="1090"/>
      <c r="G4" s="1090"/>
      <c r="H4" s="1090"/>
      <c r="I4" s="1090"/>
      <c r="J4" s="1090"/>
      <c r="K4" s="1090"/>
      <c r="L4" s="1090"/>
      <c r="M4" s="1090"/>
      <c r="N4" s="1090"/>
      <c r="O4" s="1090"/>
      <c r="P4" s="1090"/>
      <c r="Q4" s="1090"/>
      <c r="R4" s="1090"/>
      <c r="S4" s="1090"/>
      <c r="T4" s="1090"/>
    </row>
    <row r="5" spans="1:20">
      <c r="A5" s="1091" t="s">
        <v>170</v>
      </c>
      <c r="B5" s="1092" t="s">
        <v>171</v>
      </c>
      <c r="C5" s="1093"/>
      <c r="D5" s="1090"/>
      <c r="E5" s="1090"/>
      <c r="F5" s="1090"/>
      <c r="G5" s="1090"/>
      <c r="H5" s="1090"/>
      <c r="I5" s="1090"/>
      <c r="J5" s="1090"/>
      <c r="K5" s="1090"/>
      <c r="L5" s="1090"/>
      <c r="M5" s="1090"/>
      <c r="N5" s="1090"/>
      <c r="O5" s="1090"/>
      <c r="P5" s="1090"/>
      <c r="Q5" s="1090"/>
      <c r="R5" s="1090"/>
      <c r="S5" s="1090"/>
      <c r="T5" s="1090"/>
    </row>
    <row r="6" spans="1:20">
      <c r="A6" s="1091" t="s">
        <v>172</v>
      </c>
      <c r="B6" s="1094" t="s">
        <v>173</v>
      </c>
      <c r="C6" s="1093"/>
      <c r="D6" s="1090"/>
      <c r="E6" s="1090"/>
      <c r="F6" s="1090"/>
      <c r="G6" s="1090"/>
      <c r="H6" s="1090"/>
      <c r="I6" s="1090"/>
      <c r="J6" s="1090"/>
      <c r="K6" s="1090"/>
      <c r="L6" s="1090"/>
      <c r="M6" s="1090"/>
      <c r="N6" s="1090"/>
      <c r="O6" s="1090"/>
      <c r="P6" s="1090"/>
      <c r="Q6" s="1090"/>
      <c r="R6" s="1090"/>
      <c r="S6" s="1090"/>
      <c r="T6" s="1095"/>
    </row>
    <row r="7" spans="1:20">
      <c r="A7" s="1091" t="s">
        <v>174</v>
      </c>
      <c r="B7" s="1096" t="s">
        <v>175</v>
      </c>
      <c r="C7" s="1097"/>
      <c r="D7" s="1090"/>
      <c r="E7" s="1090"/>
      <c r="F7" s="1090"/>
      <c r="G7" s="1090"/>
      <c r="H7" s="1090"/>
      <c r="I7" s="1090"/>
    </row>
    <row r="8" spans="1:20">
      <c r="A8" s="1091"/>
      <c r="B8" s="1092"/>
      <c r="C8" s="1098"/>
      <c r="D8" s="1090"/>
      <c r="E8" s="1090"/>
      <c r="F8" s="1090"/>
      <c r="G8" s="1090"/>
      <c r="H8" s="1090"/>
      <c r="I8" s="1090"/>
    </row>
    <row r="9" spans="1:20">
      <c r="A9" s="1099" t="s">
        <v>175</v>
      </c>
      <c r="B9" s="1100"/>
      <c r="C9" s="1098"/>
      <c r="D9" s="1090"/>
      <c r="E9" s="1090"/>
      <c r="F9" s="1090"/>
      <c r="G9" s="1090"/>
      <c r="H9" s="1090"/>
      <c r="I9" s="1090"/>
    </row>
    <row r="10" spans="1:20">
      <c r="A10" s="1101" t="s">
        <v>176</v>
      </c>
      <c r="B10" s="1102" t="s">
        <v>177</v>
      </c>
      <c r="C10" s="1098"/>
      <c r="D10" s="1090"/>
      <c r="E10" s="1090"/>
      <c r="F10" s="1090"/>
      <c r="G10" s="1090"/>
      <c r="H10" s="1090"/>
      <c r="I10" s="1090"/>
    </row>
    <row r="11" spans="1:20">
      <c r="A11" s="1091" t="s">
        <v>178</v>
      </c>
      <c r="B11" s="1102">
        <v>500000</v>
      </c>
      <c r="C11" s="1098"/>
    </row>
    <row r="12" spans="1:20">
      <c r="A12" s="1091" t="s">
        <v>179</v>
      </c>
      <c r="B12" s="1102">
        <v>2000000</v>
      </c>
      <c r="C12" s="1098"/>
    </row>
    <row r="13" spans="1:20">
      <c r="A13" s="1091" t="s">
        <v>180</v>
      </c>
      <c r="B13" s="1092" t="s">
        <v>181</v>
      </c>
      <c r="C13" s="1098"/>
    </row>
    <row r="14" spans="1:20">
      <c r="A14" s="1091" t="s">
        <v>182</v>
      </c>
      <c r="B14" s="1092" t="s">
        <v>183</v>
      </c>
      <c r="C14" s="1098"/>
    </row>
    <row r="15" spans="1:20">
      <c r="A15" s="1091" t="s">
        <v>184</v>
      </c>
      <c r="B15" s="1092" t="s">
        <v>185</v>
      </c>
      <c r="C15" s="1098"/>
    </row>
    <row r="16" spans="1:20">
      <c r="A16" s="1091" t="s">
        <v>186</v>
      </c>
      <c r="B16" s="1092" t="s">
        <v>187</v>
      </c>
      <c r="C16" s="1098"/>
    </row>
    <row r="17" spans="1:20">
      <c r="A17" s="1091" t="s">
        <v>188</v>
      </c>
      <c r="B17" s="1103" t="s">
        <v>189</v>
      </c>
      <c r="C17" s="1098"/>
    </row>
    <row r="18" spans="1:20">
      <c r="A18" s="1091" t="s">
        <v>190</v>
      </c>
      <c r="B18" s="1103" t="s">
        <v>191</v>
      </c>
      <c r="C18" s="1098"/>
    </row>
    <row r="19" spans="1:20">
      <c r="A19" s="1091" t="s">
        <v>192</v>
      </c>
      <c r="B19" s="1092" t="s">
        <v>193</v>
      </c>
      <c r="C19" s="1098"/>
    </row>
    <row r="20" spans="1:20">
      <c r="A20" s="1091" t="s">
        <v>194</v>
      </c>
      <c r="B20" s="1092" t="s">
        <v>193</v>
      </c>
      <c r="C20" s="1098"/>
    </row>
    <row r="21" spans="1:20">
      <c r="A21" s="1091" t="s">
        <v>195</v>
      </c>
      <c r="B21" s="1092" t="s">
        <v>193</v>
      </c>
      <c r="C21" s="1098"/>
    </row>
    <row r="22" spans="1:20">
      <c r="A22" s="1091" t="s">
        <v>196</v>
      </c>
      <c r="B22" s="1102">
        <v>70</v>
      </c>
      <c r="C22" s="1098" t="s">
        <v>197</v>
      </c>
    </row>
    <row r="23" spans="1:20">
      <c r="A23" s="1091" t="s">
        <v>198</v>
      </c>
      <c r="B23" s="1102">
        <v>70</v>
      </c>
      <c r="C23" s="1098" t="s">
        <v>197</v>
      </c>
    </row>
    <row r="24" spans="1:20">
      <c r="A24" s="1091" t="s">
        <v>199</v>
      </c>
      <c r="B24" s="1102">
        <v>150</v>
      </c>
      <c r="C24" s="1098" t="s">
        <v>197</v>
      </c>
    </row>
    <row r="25" spans="1:20">
      <c r="A25" s="1091" t="s">
        <v>200</v>
      </c>
      <c r="B25" s="1102">
        <v>150</v>
      </c>
      <c r="C25" s="1098" t="s">
        <v>197</v>
      </c>
      <c r="D25" s="1090"/>
      <c r="E25" s="1090"/>
      <c r="F25" s="1090"/>
      <c r="G25" s="1090"/>
      <c r="H25" s="1090"/>
      <c r="I25" s="1090"/>
      <c r="J25" s="1090"/>
      <c r="K25" s="1090"/>
      <c r="L25" s="1090"/>
      <c r="M25" s="1090"/>
      <c r="N25" s="1090"/>
      <c r="O25" s="1090"/>
      <c r="P25" s="1090"/>
      <c r="Q25" s="1090"/>
      <c r="R25" s="1090"/>
      <c r="S25" s="1090"/>
      <c r="T25" s="1090"/>
    </row>
    <row r="26" spans="1:20">
      <c r="A26" s="1091" t="s">
        <v>201</v>
      </c>
      <c r="B26" s="1102">
        <v>150</v>
      </c>
      <c r="C26" s="1098" t="s">
        <v>197</v>
      </c>
      <c r="D26" s="1090"/>
      <c r="E26" s="1090"/>
      <c r="F26" s="1090"/>
      <c r="G26" s="1090"/>
      <c r="H26" s="1090"/>
      <c r="I26" s="1090"/>
      <c r="J26" s="1090"/>
      <c r="K26" s="1090"/>
      <c r="L26" s="1090"/>
      <c r="M26" s="1090"/>
      <c r="N26" s="1090"/>
      <c r="O26" s="1090"/>
      <c r="P26" s="1090"/>
      <c r="Q26" s="1090"/>
      <c r="R26" s="1090"/>
      <c r="S26" s="1090"/>
      <c r="T26" s="1090"/>
    </row>
    <row r="27" spans="1:20">
      <c r="A27" s="1091" t="s">
        <v>202</v>
      </c>
      <c r="B27" s="1102">
        <v>5000</v>
      </c>
      <c r="C27" s="1098" t="s">
        <v>197</v>
      </c>
      <c r="D27" s="1090"/>
      <c r="E27" s="1090"/>
      <c r="F27" s="1090"/>
      <c r="G27" s="1090"/>
      <c r="H27" s="1090"/>
      <c r="I27" s="1090"/>
      <c r="J27" s="1090"/>
      <c r="K27" s="1090"/>
      <c r="L27" s="1090"/>
      <c r="M27" s="1090"/>
      <c r="N27" s="1090"/>
      <c r="O27" s="1090"/>
      <c r="P27" s="1090"/>
      <c r="Q27" s="1090"/>
      <c r="R27" s="1090"/>
      <c r="S27" s="1090"/>
      <c r="T27" s="1090"/>
    </row>
    <row r="28" spans="1:20">
      <c r="A28" s="1091" t="s">
        <v>203</v>
      </c>
      <c r="B28" s="1102">
        <v>2000</v>
      </c>
      <c r="C28" s="1098" t="s">
        <v>197</v>
      </c>
      <c r="D28" s="1090"/>
      <c r="E28" s="1090"/>
      <c r="F28" s="1090"/>
      <c r="G28" s="1090"/>
      <c r="H28" s="1090"/>
      <c r="I28" s="1090"/>
      <c r="J28" s="1090"/>
      <c r="K28" s="1090"/>
      <c r="L28" s="1090"/>
      <c r="M28" s="1090"/>
      <c r="N28" s="1090"/>
      <c r="O28" s="1090"/>
      <c r="P28" s="1090"/>
      <c r="Q28" s="1090"/>
      <c r="R28" s="1090"/>
      <c r="S28" s="1090"/>
      <c r="T28" s="1090"/>
    </row>
    <row r="29" spans="1:20">
      <c r="A29" s="1091" t="s">
        <v>204</v>
      </c>
      <c r="B29" s="1102">
        <v>50</v>
      </c>
      <c r="C29" s="1098" t="s">
        <v>197</v>
      </c>
      <c r="D29" s="1090"/>
      <c r="E29" s="1090"/>
      <c r="F29" s="1090"/>
      <c r="G29" s="1090"/>
      <c r="H29" s="1090"/>
      <c r="I29" s="1090"/>
      <c r="J29" s="1090"/>
      <c r="K29" s="1090"/>
      <c r="L29" s="1090"/>
      <c r="M29" s="1090"/>
      <c r="N29" s="1090"/>
      <c r="O29" s="1090"/>
      <c r="P29" s="1090"/>
      <c r="Q29" s="1090"/>
      <c r="R29" s="1090"/>
      <c r="S29" s="1090"/>
      <c r="T29" s="1090"/>
    </row>
    <row r="30" spans="1:20">
      <c r="A30" s="1091" t="s">
        <v>205</v>
      </c>
      <c r="B30" s="1102">
        <v>5000</v>
      </c>
      <c r="C30" s="1098" t="s">
        <v>197</v>
      </c>
      <c r="D30" s="1090"/>
      <c r="E30" s="1090"/>
      <c r="F30" s="1090"/>
      <c r="G30" s="1090"/>
      <c r="H30" s="1090"/>
      <c r="I30" s="1090"/>
      <c r="J30" s="1090"/>
      <c r="K30" s="1090"/>
      <c r="L30" s="1090"/>
      <c r="M30" s="1090"/>
      <c r="N30" s="1090"/>
      <c r="O30" s="1090"/>
      <c r="P30" s="1090"/>
      <c r="Q30" s="1090"/>
      <c r="R30" s="1090"/>
      <c r="S30" s="1090"/>
      <c r="T30" s="1090"/>
    </row>
    <row r="31" spans="1:20">
      <c r="A31" s="1091" t="s">
        <v>206</v>
      </c>
      <c r="B31" s="1102">
        <v>5000</v>
      </c>
      <c r="C31" s="1098" t="s">
        <v>197</v>
      </c>
      <c r="D31" s="1090"/>
      <c r="E31" s="1090"/>
      <c r="F31" s="1090"/>
      <c r="G31" s="1090"/>
      <c r="H31" s="1090"/>
      <c r="I31" s="1090"/>
      <c r="J31" s="1090"/>
      <c r="K31" s="1090"/>
      <c r="L31" s="1090"/>
      <c r="M31" s="1090"/>
      <c r="N31" s="1090"/>
      <c r="O31" s="1090"/>
      <c r="P31" s="1090"/>
      <c r="Q31" s="1090"/>
      <c r="R31" s="1090"/>
      <c r="S31" s="1090"/>
      <c r="T31" s="1090"/>
    </row>
    <row r="32" spans="1:20">
      <c r="A32" s="1091" t="s">
        <v>207</v>
      </c>
      <c r="B32" s="1102">
        <v>0</v>
      </c>
      <c r="C32" s="1098"/>
      <c r="D32" s="1090"/>
      <c r="E32" s="1090"/>
      <c r="F32" s="1090"/>
      <c r="G32" s="1090"/>
      <c r="H32" s="1090"/>
      <c r="I32" s="1090"/>
      <c r="J32" s="1090"/>
      <c r="K32" s="1090"/>
      <c r="L32" s="1090"/>
      <c r="M32" s="1090"/>
      <c r="N32" s="1090"/>
      <c r="O32" s="1090"/>
      <c r="P32" s="1090"/>
      <c r="Q32" s="1090"/>
      <c r="R32" s="1090"/>
      <c r="S32" s="1090"/>
      <c r="T32" s="1090"/>
    </row>
    <row r="33" spans="1:20">
      <c r="A33" s="1091" t="s">
        <v>208</v>
      </c>
      <c r="B33" s="1102">
        <v>20</v>
      </c>
      <c r="C33" s="1098" t="s">
        <v>197</v>
      </c>
      <c r="D33" s="1090"/>
      <c r="E33" s="1090"/>
      <c r="F33" s="1090"/>
      <c r="G33" s="1090"/>
      <c r="H33" s="1090"/>
      <c r="I33" s="1090"/>
      <c r="J33" s="1090"/>
      <c r="K33" s="1090"/>
      <c r="L33" s="1090"/>
      <c r="M33" s="1090"/>
      <c r="N33" s="1090"/>
      <c r="O33" s="1090"/>
      <c r="P33" s="1090"/>
      <c r="Q33" s="1090"/>
      <c r="R33" s="1090"/>
      <c r="S33" s="1090"/>
      <c r="T33" s="1090"/>
    </row>
    <row r="34" spans="1:20">
      <c r="A34" s="1091" t="s">
        <v>209</v>
      </c>
      <c r="B34" s="1102">
        <v>0</v>
      </c>
      <c r="C34" s="1098" t="s">
        <v>197</v>
      </c>
      <c r="D34" s="1090"/>
      <c r="E34" s="1090"/>
      <c r="F34" s="1090"/>
      <c r="G34" s="1090"/>
      <c r="H34" s="1090"/>
      <c r="I34" s="1090"/>
      <c r="J34" s="1090"/>
      <c r="K34" s="1090"/>
      <c r="L34" s="1090"/>
      <c r="M34" s="1090"/>
      <c r="N34" s="1090"/>
      <c r="O34" s="1090"/>
      <c r="P34" s="1090"/>
      <c r="Q34" s="1090"/>
      <c r="R34" s="1090"/>
      <c r="S34" s="1090"/>
      <c r="T34" s="1090"/>
    </row>
    <row r="35" spans="1:20">
      <c r="A35" s="1091"/>
      <c r="B35" s="1092"/>
      <c r="C35" s="1093"/>
      <c r="D35" s="1090"/>
      <c r="E35" s="1090"/>
      <c r="F35" s="1090"/>
      <c r="G35" s="1090"/>
      <c r="H35" s="1090"/>
      <c r="I35" s="1090"/>
      <c r="J35" s="1090"/>
      <c r="K35" s="1090"/>
      <c r="L35" s="1090"/>
      <c r="M35" s="1090"/>
      <c r="N35" s="1090"/>
      <c r="O35" s="1090"/>
      <c r="P35" s="1090"/>
      <c r="Q35" s="1090"/>
      <c r="R35" s="1090"/>
      <c r="S35" s="1090"/>
      <c r="T35" s="1090"/>
    </row>
    <row r="36" spans="1:20">
      <c r="A36" s="1099" t="s">
        <v>210</v>
      </c>
      <c r="B36" s="1100"/>
      <c r="C36" s="1093"/>
      <c r="D36" s="1090"/>
      <c r="E36" s="1090"/>
      <c r="F36" s="1090"/>
      <c r="G36" s="1090"/>
      <c r="H36" s="1090"/>
      <c r="I36" s="1090"/>
      <c r="J36" s="1090"/>
      <c r="K36" s="1090"/>
      <c r="L36" s="1090"/>
      <c r="M36" s="1090"/>
      <c r="N36" s="1090"/>
      <c r="O36" s="1090"/>
      <c r="P36" s="1090"/>
      <c r="Q36" s="1090"/>
      <c r="R36" s="1090"/>
      <c r="S36" s="1090"/>
      <c r="T36" s="1090"/>
    </row>
    <row r="37" spans="1:20">
      <c r="A37" s="1091" t="s">
        <v>211</v>
      </c>
      <c r="B37" s="1104" t="s">
        <v>212</v>
      </c>
      <c r="C37" s="1093"/>
      <c r="D37" s="1090"/>
      <c r="E37" s="1090"/>
      <c r="F37" s="1090"/>
      <c r="G37" s="1090"/>
      <c r="H37" s="1090"/>
      <c r="I37" s="1090"/>
      <c r="J37" s="1090"/>
      <c r="K37" s="1090"/>
      <c r="L37" s="1090"/>
      <c r="M37" s="1090"/>
      <c r="N37" s="1090"/>
      <c r="O37" s="1090"/>
      <c r="P37" s="1090"/>
      <c r="Q37" s="1090"/>
      <c r="R37" s="1090"/>
      <c r="S37" s="1090"/>
      <c r="T37" s="1090"/>
    </row>
    <row r="38" s="1083" customFormat="1" spans="1:20">
      <c r="A38" s="1091" t="s">
        <v>213</v>
      </c>
      <c r="B38" s="1104" t="s">
        <v>214</v>
      </c>
      <c r="C38" s="1093"/>
      <c r="D38" s="1105"/>
      <c r="E38" s="1105"/>
      <c r="F38" s="1105"/>
      <c r="G38" s="1105"/>
      <c r="H38" s="1105"/>
      <c r="I38" s="1105"/>
      <c r="J38" s="1105"/>
      <c r="K38" s="1105"/>
      <c r="L38" s="1105"/>
      <c r="M38" s="1105"/>
      <c r="N38" s="1105"/>
      <c r="O38" s="1105"/>
      <c r="P38" s="1105"/>
      <c r="Q38" s="1105"/>
      <c r="R38" s="1105"/>
      <c r="S38" s="1105"/>
      <c r="T38" s="1105"/>
    </row>
    <row r="39" s="1083" customFormat="1" spans="1:20">
      <c r="A39" s="1091" t="s">
        <v>215</v>
      </c>
      <c r="B39" s="1104" t="s">
        <v>216</v>
      </c>
      <c r="C39" s="1093"/>
      <c r="D39" s="1105"/>
      <c r="E39" s="1105"/>
      <c r="F39" s="1105"/>
      <c r="G39" s="1105"/>
      <c r="H39" s="1105"/>
      <c r="I39" s="1105"/>
      <c r="J39" s="1105"/>
      <c r="K39" s="1105"/>
      <c r="L39" s="1105"/>
      <c r="M39" s="1105"/>
      <c r="N39" s="1105"/>
      <c r="O39" s="1105"/>
      <c r="P39" s="1105"/>
      <c r="Q39" s="1105"/>
      <c r="R39" s="1105"/>
      <c r="S39" s="1105"/>
      <c r="T39" s="1105"/>
    </row>
    <row r="40" s="1083" customFormat="1" spans="1:20">
      <c r="A40" s="1091" t="s">
        <v>217</v>
      </c>
      <c r="B40" s="1104" t="s">
        <v>218</v>
      </c>
      <c r="C40" s="1093"/>
      <c r="D40" s="1105"/>
      <c r="E40" s="1105"/>
      <c r="F40" s="1105"/>
      <c r="G40" s="1105"/>
      <c r="H40" s="1105"/>
      <c r="I40" s="1105"/>
      <c r="J40" s="1105"/>
      <c r="K40" s="1105"/>
      <c r="L40" s="1105"/>
      <c r="M40" s="1105"/>
      <c r="N40" s="1105"/>
      <c r="O40" s="1105"/>
      <c r="P40" s="1105"/>
      <c r="Q40" s="1105"/>
      <c r="R40" s="1105"/>
      <c r="S40" s="1105"/>
      <c r="T40" s="1105"/>
    </row>
    <row r="41" s="1083" customFormat="1" spans="1:20">
      <c r="A41" s="1091" t="s">
        <v>219</v>
      </c>
      <c r="B41" s="1104" t="s">
        <v>220</v>
      </c>
      <c r="C41" s="1093"/>
      <c r="D41" s="1105"/>
      <c r="E41" s="1105"/>
      <c r="F41" s="1105"/>
      <c r="G41" s="1105"/>
      <c r="H41" s="1105"/>
      <c r="I41" s="1105"/>
      <c r="J41" s="1105"/>
      <c r="K41" s="1105"/>
      <c r="L41" s="1105"/>
      <c r="M41" s="1105"/>
      <c r="N41" s="1105"/>
      <c r="O41" s="1105"/>
      <c r="P41" s="1105"/>
      <c r="Q41" s="1105"/>
      <c r="R41" s="1105"/>
      <c r="S41" s="1105"/>
      <c r="T41" s="1105"/>
    </row>
    <row r="42" s="1083" customFormat="1" spans="1:20">
      <c r="A42" s="1091" t="s">
        <v>221</v>
      </c>
      <c r="B42" s="1104" t="s">
        <v>222</v>
      </c>
      <c r="C42" s="1093"/>
      <c r="D42" s="1105"/>
      <c r="E42" s="1105"/>
      <c r="F42" s="1105"/>
      <c r="G42" s="1105"/>
      <c r="H42" s="1105"/>
      <c r="I42" s="1105"/>
      <c r="J42" s="1105"/>
      <c r="K42" s="1105"/>
      <c r="L42" s="1105"/>
      <c r="M42" s="1105"/>
      <c r="N42" s="1105"/>
      <c r="O42" s="1105"/>
      <c r="P42" s="1105"/>
      <c r="Q42" s="1105"/>
      <c r="R42" s="1105"/>
      <c r="S42" s="1105"/>
      <c r="T42" s="1105"/>
    </row>
    <row r="43" s="1083" customFormat="1" spans="1:20">
      <c r="A43" s="1091" t="s">
        <v>223</v>
      </c>
      <c r="B43" s="1106" t="s">
        <v>224</v>
      </c>
      <c r="C43" s="1093"/>
      <c r="D43" s="1105"/>
      <c r="E43" s="1105"/>
      <c r="F43" s="1105"/>
      <c r="G43" s="1105"/>
      <c r="H43" s="1105"/>
      <c r="I43" s="1105"/>
      <c r="J43" s="1105"/>
      <c r="K43" s="1105"/>
      <c r="L43" s="1105"/>
      <c r="M43" s="1105"/>
      <c r="N43" s="1105"/>
      <c r="O43" s="1105"/>
      <c r="P43" s="1105"/>
      <c r="Q43" s="1105"/>
      <c r="R43" s="1105"/>
      <c r="S43" s="1105"/>
      <c r="T43" s="1105"/>
    </row>
    <row r="44" s="1083" customFormat="1" spans="1:20">
      <c r="A44" s="1091" t="s">
        <v>225</v>
      </c>
      <c r="B44" s="1106" t="s">
        <v>224</v>
      </c>
      <c r="C44" s="1093"/>
      <c r="D44" s="1105"/>
      <c r="E44" s="1105"/>
      <c r="F44" s="1105"/>
      <c r="G44" s="1105"/>
      <c r="H44" s="1105"/>
      <c r="I44" s="1105"/>
      <c r="J44" s="1105"/>
      <c r="K44" s="1105"/>
      <c r="L44" s="1105"/>
      <c r="M44" s="1105"/>
      <c r="N44" s="1105"/>
      <c r="O44" s="1105"/>
      <c r="P44" s="1105"/>
      <c r="Q44" s="1105"/>
      <c r="R44" s="1105"/>
      <c r="S44" s="1105"/>
      <c r="T44" s="1105"/>
    </row>
    <row r="45" s="1083" customFormat="1" ht="13.4" customHeight="1" spans="1:20">
      <c r="A45" s="1091" t="s">
        <v>203</v>
      </c>
      <c r="B45" s="1102">
        <v>2000</v>
      </c>
      <c r="C45" s="1098" t="s">
        <v>197</v>
      </c>
      <c r="D45" s="1105"/>
      <c r="E45" s="1105"/>
      <c r="F45" s="1105"/>
      <c r="G45" s="1105"/>
      <c r="H45" s="1105"/>
      <c r="I45" s="1105"/>
      <c r="J45" s="1105"/>
      <c r="K45" s="1105"/>
      <c r="L45" s="1105"/>
      <c r="M45" s="1105"/>
      <c r="N45" s="1105"/>
      <c r="O45" s="1105"/>
      <c r="P45" s="1105"/>
      <c r="Q45" s="1105"/>
      <c r="R45" s="1105"/>
      <c r="S45" s="1105"/>
      <c r="T45" s="1105"/>
    </row>
    <row r="46" spans="1:20">
      <c r="A46" s="1091" t="s">
        <v>226</v>
      </c>
      <c r="B46" s="1102">
        <v>2000</v>
      </c>
      <c r="C46" s="1094" t="s">
        <v>197</v>
      </c>
      <c r="D46" s="1090"/>
      <c r="E46" s="1090"/>
      <c r="F46" s="1090"/>
      <c r="G46" s="1090"/>
      <c r="H46" s="1090"/>
      <c r="I46" s="1090"/>
      <c r="J46" s="1090"/>
      <c r="K46" s="1090"/>
      <c r="L46" s="1090"/>
      <c r="M46" s="1090"/>
      <c r="N46" s="1090"/>
      <c r="O46" s="1090"/>
      <c r="P46" s="1090"/>
      <c r="Q46" s="1090"/>
      <c r="R46" s="1090"/>
      <c r="S46" s="1090"/>
      <c r="T46" s="1090"/>
    </row>
    <row r="47" s="1083" customFormat="1" spans="1:20">
      <c r="A47" s="1091" t="s">
        <v>227</v>
      </c>
      <c r="B47" s="1102">
        <v>7000</v>
      </c>
      <c r="C47" s="1094" t="s">
        <v>197</v>
      </c>
      <c r="D47" s="1105"/>
      <c r="E47" s="1105"/>
      <c r="F47" s="1105"/>
      <c r="G47" s="1105"/>
      <c r="H47" s="1105"/>
      <c r="I47" s="1105"/>
      <c r="J47" s="1105"/>
      <c r="K47" s="1105"/>
      <c r="L47" s="1105"/>
      <c r="M47" s="1105"/>
      <c r="N47" s="1105"/>
      <c r="O47" s="1105"/>
      <c r="P47" s="1105"/>
      <c r="Q47" s="1105"/>
      <c r="R47" s="1105"/>
      <c r="S47" s="1105"/>
      <c r="T47" s="1105"/>
    </row>
    <row r="48" s="1083" customFormat="1" spans="1:20">
      <c r="A48" s="1107" t="s">
        <v>204</v>
      </c>
      <c r="B48" s="1102">
        <v>50</v>
      </c>
      <c r="C48" s="1098" t="s">
        <v>197</v>
      </c>
      <c r="D48" s="1105"/>
      <c r="E48" s="1105"/>
      <c r="F48" s="1105"/>
      <c r="G48" s="1105"/>
      <c r="H48" s="1105"/>
      <c r="I48" s="1105"/>
      <c r="J48" s="1105"/>
      <c r="K48" s="1105"/>
      <c r="L48" s="1105"/>
      <c r="M48" s="1105"/>
      <c r="N48" s="1105"/>
      <c r="O48" s="1105"/>
      <c r="P48" s="1105"/>
      <c r="Q48" s="1105"/>
      <c r="R48" s="1105"/>
      <c r="S48" s="1105"/>
      <c r="T48" s="1105"/>
    </row>
    <row r="49" s="1083" customFormat="1" spans="1:20">
      <c r="A49" s="1107" t="s">
        <v>205</v>
      </c>
      <c r="B49" s="1102">
        <v>5000</v>
      </c>
      <c r="C49" s="1098" t="s">
        <v>197</v>
      </c>
      <c r="D49" s="1105"/>
      <c r="E49" s="1105"/>
      <c r="F49" s="1105"/>
      <c r="G49" s="1105"/>
      <c r="H49" s="1105"/>
      <c r="I49" s="1105"/>
      <c r="J49" s="1105"/>
      <c r="K49" s="1105"/>
      <c r="L49" s="1105"/>
      <c r="M49" s="1105"/>
      <c r="N49" s="1105"/>
      <c r="O49" s="1105"/>
      <c r="P49" s="1105"/>
      <c r="Q49" s="1105"/>
      <c r="R49" s="1105"/>
      <c r="S49" s="1105"/>
      <c r="T49" s="1105"/>
    </row>
    <row r="50" s="1083" customFormat="1" spans="1:20">
      <c r="A50" s="1093" t="s">
        <v>206</v>
      </c>
      <c r="B50" s="1108">
        <v>5000</v>
      </c>
      <c r="C50" s="1098" t="s">
        <v>197</v>
      </c>
      <c r="D50" s="1105"/>
      <c r="E50" s="1105"/>
      <c r="F50" s="1105"/>
      <c r="G50" s="1105"/>
      <c r="H50" s="1105"/>
      <c r="I50" s="1105"/>
      <c r="J50" s="1105"/>
      <c r="K50" s="1105"/>
      <c r="L50" s="1105"/>
      <c r="M50" s="1105"/>
      <c r="N50" s="1105"/>
      <c r="O50" s="1105"/>
      <c r="P50" s="1105"/>
      <c r="Q50" s="1105"/>
      <c r="R50" s="1105"/>
      <c r="S50" s="1105"/>
      <c r="T50" s="1105"/>
    </row>
    <row r="51" s="1083" customFormat="1" spans="1:20">
      <c r="A51" s="1093"/>
      <c r="B51" s="1109"/>
      <c r="C51" s="1093"/>
      <c r="D51" s="1105"/>
      <c r="E51" s="1105"/>
      <c r="F51" s="1105"/>
      <c r="G51" s="1105"/>
      <c r="H51" s="1105"/>
      <c r="I51" s="1105"/>
      <c r="J51" s="1105"/>
      <c r="K51" s="1105"/>
      <c r="L51" s="1105"/>
      <c r="M51" s="1105"/>
      <c r="N51" s="1105"/>
      <c r="O51" s="1105"/>
      <c r="P51" s="1105"/>
      <c r="Q51" s="1105"/>
      <c r="R51" s="1105"/>
      <c r="S51" s="1105"/>
      <c r="T51" s="1105"/>
    </row>
    <row r="52" s="1083" customFormat="1" spans="1:20">
      <c r="A52" s="1093" t="s">
        <v>228</v>
      </c>
      <c r="B52" s="1109" t="s">
        <v>229</v>
      </c>
      <c r="C52" s="1098"/>
      <c r="D52" s="1105"/>
      <c r="E52" s="1105"/>
      <c r="F52" s="1105"/>
      <c r="G52" s="1105"/>
      <c r="H52" s="1105"/>
      <c r="I52" s="1105"/>
      <c r="J52" s="1105"/>
      <c r="K52" s="1105"/>
      <c r="L52" s="1105"/>
      <c r="M52" s="1105"/>
      <c r="N52" s="1105"/>
      <c r="O52" s="1105"/>
      <c r="P52" s="1105"/>
      <c r="Q52" s="1105"/>
      <c r="R52" s="1105"/>
      <c r="S52" s="1105"/>
      <c r="T52" s="1105"/>
    </row>
    <row r="53" spans="1:20">
      <c r="A53" s="1093" t="s">
        <v>230</v>
      </c>
      <c r="B53" s="1332" t="s">
        <v>231</v>
      </c>
      <c r="C53" s="1098"/>
      <c r="D53" s="1090"/>
      <c r="E53" s="1090"/>
      <c r="F53" s="1090"/>
      <c r="G53" s="1090"/>
      <c r="H53" s="1090"/>
      <c r="I53" s="1090"/>
      <c r="J53" s="1090"/>
      <c r="K53" s="1090"/>
      <c r="L53" s="1090"/>
      <c r="M53" s="1090"/>
      <c r="N53" s="1090"/>
      <c r="O53" s="1090"/>
      <c r="P53" s="1090"/>
      <c r="Q53" s="1090"/>
      <c r="R53" s="1090"/>
      <c r="S53" s="1090"/>
      <c r="T53" s="1090"/>
    </row>
    <row r="54" spans="1:20">
      <c r="A54" s="1093" t="s">
        <v>232</v>
      </c>
      <c r="B54" s="1109"/>
      <c r="C54" s="1098"/>
      <c r="D54" s="1090"/>
      <c r="E54" s="1090"/>
      <c r="F54" s="1090"/>
      <c r="G54" s="1090"/>
      <c r="H54" s="1090"/>
      <c r="I54" s="1090"/>
    </row>
    <row r="55" spans="1:20">
      <c r="A55" s="1093" t="s">
        <v>233</v>
      </c>
      <c r="B55" s="1109" t="s">
        <v>154</v>
      </c>
      <c r="C55" s="1098"/>
      <c r="D55" s="1090"/>
      <c r="E55" s="1090"/>
      <c r="F55" s="1090"/>
      <c r="G55" s="1090"/>
      <c r="H55" s="1090"/>
      <c r="I55" s="1090"/>
    </row>
    <row r="56" spans="1:20">
      <c r="A56" s="1093" t="s">
        <v>234</v>
      </c>
      <c r="B56" s="1109" t="s">
        <v>235</v>
      </c>
      <c r="C56" s="1098"/>
      <c r="D56" s="1090"/>
      <c r="E56" s="1090"/>
      <c r="F56" s="1090"/>
      <c r="G56" s="1090"/>
      <c r="H56" s="1090"/>
      <c r="I56" s="1090"/>
    </row>
    <row r="57" spans="1:20">
      <c r="A57" s="1098"/>
      <c r="B57" s="1109"/>
      <c r="C57" s="1098"/>
      <c r="D57" s="1090"/>
      <c r="E57" s="1090"/>
      <c r="F57" s="1090"/>
      <c r="G57" s="1090"/>
      <c r="H57" s="1090"/>
      <c r="I57" s="1090"/>
    </row>
    <row r="58" spans="1:20">
      <c r="A58" s="1093"/>
      <c r="B58" s="1109"/>
      <c r="C58" s="1098"/>
      <c r="D58" s="1090"/>
      <c r="E58" s="1090"/>
      <c r="F58" s="1090"/>
      <c r="G58" s="1090"/>
      <c r="H58" s="1090"/>
      <c r="I58" s="1090"/>
    </row>
    <row r="59" spans="1:20">
      <c r="A59" s="1098" t="s">
        <v>236</v>
      </c>
      <c r="B59" s="1109"/>
      <c r="C59" s="1098"/>
      <c r="D59" s="1090"/>
      <c r="E59" s="1090"/>
      <c r="F59" s="1090"/>
      <c r="G59" s="1090"/>
      <c r="H59" s="1090"/>
      <c r="I59" s="1090"/>
    </row>
    <row r="60" ht="14.25" customHeight="1" spans="1:20">
      <c r="A60" s="1098"/>
      <c r="B60" s="1109"/>
      <c r="C60" s="1098"/>
      <c r="D60" s="1090"/>
      <c r="E60" s="1090"/>
      <c r="F60" s="1090"/>
      <c r="G60" s="1090"/>
      <c r="H60" s="1090"/>
      <c r="I60" s="1090"/>
    </row>
    <row r="61" spans="1:20">
      <c r="A61" s="1098"/>
      <c r="B61" s="1109"/>
      <c r="C61" s="1098"/>
      <c r="D61" s="1090"/>
      <c r="E61" s="1090"/>
      <c r="F61" s="1090"/>
      <c r="G61" s="1090"/>
      <c r="H61" s="1090"/>
      <c r="I61" s="1090"/>
    </row>
    <row r="62" spans="1:20">
      <c r="A62" s="1098" t="s">
        <v>237</v>
      </c>
      <c r="B62" s="1109"/>
      <c r="C62" s="1098"/>
      <c r="D62" s="1090"/>
      <c r="E62" s="1090"/>
      <c r="F62" s="1090"/>
      <c r="G62" s="1090"/>
      <c r="H62" s="1090"/>
      <c r="I62" s="1090"/>
    </row>
    <row r="63" spans="1:20">
      <c r="A63" s="1098"/>
      <c r="B63" s="1109"/>
      <c r="C63" s="1098"/>
      <c r="D63" s="1090"/>
      <c r="E63" s="1090"/>
      <c r="F63" s="1090"/>
      <c r="G63" s="1090"/>
      <c r="H63" s="1090"/>
      <c r="I63" s="1090"/>
    </row>
    <row r="64" spans="1:20">
      <c r="A64" s="1098" t="s">
        <v>237</v>
      </c>
      <c r="B64" s="1109"/>
      <c r="C64" s="1098"/>
    </row>
  </sheetData>
  <mergeCells count="4">
    <mergeCell ref="A4:B4"/>
    <mergeCell ref="A9:B9"/>
    <mergeCell ref="A36:B36"/>
    <mergeCell ref="A1:C3"/>
  </mergeCells>
  <dataValidations count="5">
    <dataValidation type="list" allowBlank="1" showErrorMessage="1" sqref="B7">
      <formula1>"DoCAN,DoIP,DoCAN&amp;DoIP"</formula1>
    </dataValidation>
    <dataValidation type="list" allowBlank="1" showInputMessage="1" showErrorMessage="1" sqref="B13">
      <formula1>"11bit, 29bit"</formula1>
    </dataValidation>
    <dataValidation type="list" allowBlank="1" showInputMessage="1" showErrorMessage="1" sqref="B14">
      <formula1>"Normal, Normal fixed, Extended"</formula1>
    </dataValidation>
    <dataValidation type="list" allowBlank="1" showInputMessage="1" showErrorMessage="1" sqref="B15">
      <formula1>"TX_DL=8 Classic CAN, TX_DL=8 CANFD, TX_DL=12 CANFD, TX_DL=16 CANFD, TX_DL=20 CANFD, TX_DL=24 CANFD, TX_DL=32 CANFD, TX_DL=48 CANFD, TX_DL=64 CANFD"</formula1>
    </dataValidation>
    <dataValidation type="list" allowBlank="1" showErrorMessage="1" sqref="B37">
      <formula1>"Ethernet1,Ethernet2"</formula1>
    </dataValidation>
  </dataValidations>
  <pageMargins left="0.7" right="0.7" top="0.75" bottom="0.75" header="0.3" footer="0.3"/>
  <pageSetup paperSize="9" orientation="portrait"/>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P68"/>
  <sheetViews>
    <sheetView showGridLines="0" workbookViewId="0">
      <pane xSplit="2" ySplit="6" topLeftCell="C7" activePane="bottomRight" state="frozen"/>
      <selection/>
      <selection pane="topRight"/>
      <selection pane="bottomLeft"/>
      <selection pane="bottomRight" activeCell="H10" sqref="H10"/>
    </sheetView>
  </sheetViews>
  <sheetFormatPr defaultColWidth="7.72727272727273" defaultRowHeight="13"/>
  <cols>
    <col min="1" max="1" width="12" style="996" customWidth="1"/>
    <col min="2" max="2" width="24.0909090909091" style="996" customWidth="1"/>
    <col min="3" max="3" width="14.0909090909091" style="996" customWidth="1"/>
    <col min="4" max="4" width="36.7272727272727" style="996" customWidth="1"/>
    <col min="5" max="5" width="9.45454545454546" style="996" customWidth="1"/>
    <col min="6" max="6" width="19" style="996" customWidth="1"/>
    <col min="7" max="7" width="29.4545454545455" style="996" customWidth="1"/>
    <col min="8" max="8" width="29.3636363636364" style="996" customWidth="1"/>
    <col min="9" max="9" width="9.72727272727273" style="997" customWidth="1"/>
    <col min="10" max="10" width="11.7272727272727" style="997" customWidth="1"/>
    <col min="11" max="11" width="12.0909090909091" style="997" customWidth="1"/>
    <col min="12" max="13" width="8.90909090909091" style="997" customWidth="1"/>
    <col min="14" max="14" width="10" style="997" customWidth="1"/>
    <col min="15" max="15" width="9.90909090909091" style="997" customWidth="1"/>
    <col min="16" max="16" width="29.0909090909091" style="998" customWidth="1"/>
    <col min="17" max="16384" width="7.72727272727273" style="996"/>
  </cols>
  <sheetData>
    <row r="1" ht="14.15" customHeight="1" spans="1:16">
      <c r="A1" s="1038" t="s">
        <v>238</v>
      </c>
      <c r="B1" s="999"/>
      <c r="C1" s="999"/>
      <c r="D1" s="999"/>
      <c r="E1" s="999"/>
    </row>
    <row r="2" spans="1:16">
      <c r="A2" s="1038"/>
      <c r="B2" s="999"/>
      <c r="C2" s="999"/>
      <c r="D2" s="999"/>
      <c r="E2" s="999"/>
    </row>
    <row r="3" spans="1:16">
      <c r="A3" s="1039"/>
      <c r="B3" s="1002"/>
      <c r="C3" s="1002"/>
      <c r="D3" s="1002"/>
      <c r="E3" s="1002"/>
    </row>
    <row r="4" s="990" customFormat="1" ht="33.75" customHeight="1" spans="1:16">
      <c r="A4" s="1040" t="s">
        <v>239</v>
      </c>
      <c r="B4" s="1041"/>
      <c r="C4" s="1041"/>
      <c r="D4" s="1041"/>
      <c r="E4" s="1041"/>
      <c r="F4" s="1041"/>
      <c r="G4" s="1041"/>
      <c r="H4" s="1041"/>
      <c r="I4" s="1041"/>
      <c r="J4" s="1041"/>
      <c r="K4" s="1041"/>
      <c r="L4" s="1041"/>
      <c r="M4" s="1041"/>
      <c r="N4" s="1041"/>
      <c r="O4" s="1041"/>
      <c r="P4" s="1042"/>
    </row>
    <row r="5" s="990" customFormat="1" ht="27.65" customHeight="1" spans="1:16">
      <c r="A5" s="1005" t="s">
        <v>240</v>
      </c>
      <c r="B5" s="1005"/>
      <c r="C5" s="1005"/>
      <c r="D5" s="1005"/>
      <c r="E5" s="1005"/>
      <c r="F5" s="1005"/>
      <c r="G5" s="1005" t="s">
        <v>241</v>
      </c>
      <c r="H5" s="1005"/>
      <c r="I5" s="1005" t="s">
        <v>242</v>
      </c>
      <c r="J5" s="1005" t="s">
        <v>243</v>
      </c>
      <c r="K5" s="1005"/>
      <c r="L5" s="1005" t="s">
        <v>244</v>
      </c>
      <c r="M5" s="1005"/>
      <c r="N5" s="1005" t="s">
        <v>245</v>
      </c>
      <c r="O5" s="1005"/>
      <c r="P5" s="1005" t="s">
        <v>246</v>
      </c>
    </row>
    <row r="6" s="991" customFormat="1" ht="32.15" customHeight="1" spans="1:16">
      <c r="A6" s="1006" t="s">
        <v>247</v>
      </c>
      <c r="B6" s="1006" t="s">
        <v>248</v>
      </c>
      <c r="C6" s="1007" t="s">
        <v>249</v>
      </c>
      <c r="D6" s="1007" t="s">
        <v>250</v>
      </c>
      <c r="E6" s="1007" t="s">
        <v>251</v>
      </c>
      <c r="F6" s="1007" t="s">
        <v>252</v>
      </c>
      <c r="G6" s="1006" t="s">
        <v>253</v>
      </c>
      <c r="H6" s="1007" t="s">
        <v>254</v>
      </c>
      <c r="I6" s="1007" t="s">
        <v>242</v>
      </c>
      <c r="J6" s="1006" t="s">
        <v>255</v>
      </c>
      <c r="K6" s="1006" t="s">
        <v>256</v>
      </c>
      <c r="L6" s="1008" t="s">
        <v>257</v>
      </c>
      <c r="M6" s="1008" t="s">
        <v>258</v>
      </c>
      <c r="N6" s="1009" t="s">
        <v>259</v>
      </c>
      <c r="O6" s="1009" t="s">
        <v>260</v>
      </c>
      <c r="P6" s="1006" t="s">
        <v>246</v>
      </c>
    </row>
    <row r="7" s="992" customFormat="1" ht="40.4" customHeight="1" spans="1:16">
      <c r="A7" s="1043" t="s">
        <v>261</v>
      </c>
      <c r="B7" s="1044" t="s">
        <v>262</v>
      </c>
      <c r="C7" s="1010" t="s">
        <v>263</v>
      </c>
      <c r="D7" s="1011" t="s">
        <v>264</v>
      </c>
      <c r="E7" s="1012" t="s">
        <v>265</v>
      </c>
      <c r="F7" s="720" t="s">
        <v>266</v>
      </c>
      <c r="G7" s="1017" t="s">
        <v>267</v>
      </c>
      <c r="H7" s="1014" t="s">
        <v>193</v>
      </c>
      <c r="I7" s="720" t="s">
        <v>266</v>
      </c>
      <c r="J7" s="720" t="s">
        <v>266</v>
      </c>
      <c r="K7" s="720" t="s">
        <v>266</v>
      </c>
      <c r="L7" s="720" t="s">
        <v>266</v>
      </c>
      <c r="M7" s="720" t="s">
        <v>266</v>
      </c>
      <c r="N7" s="720" t="s">
        <v>266</v>
      </c>
      <c r="O7" s="720" t="s">
        <v>266</v>
      </c>
      <c r="P7" s="1016"/>
    </row>
    <row r="8" s="992" customFormat="1" ht="87" spans="1:16">
      <c r="A8" s="1045"/>
      <c r="B8" s="1046"/>
      <c r="C8" s="1010" t="s">
        <v>268</v>
      </c>
      <c r="D8" s="1011" t="s">
        <v>269</v>
      </c>
      <c r="E8" s="1012" t="s">
        <v>265</v>
      </c>
      <c r="F8" s="720" t="s">
        <v>266</v>
      </c>
      <c r="G8" s="1017" t="s">
        <v>270</v>
      </c>
      <c r="H8" s="1020" t="s">
        <v>271</v>
      </c>
      <c r="I8" s="720" t="s">
        <v>266</v>
      </c>
      <c r="J8" s="720" t="s">
        <v>266</v>
      </c>
      <c r="K8" s="729" t="s">
        <v>272</v>
      </c>
      <c r="L8" s="729" t="s">
        <v>272</v>
      </c>
      <c r="M8" s="720" t="s">
        <v>266</v>
      </c>
      <c r="N8" s="720" t="s">
        <v>266</v>
      </c>
      <c r="O8" s="720" t="s">
        <v>266</v>
      </c>
      <c r="P8" s="1016"/>
    </row>
    <row r="9" s="992" customFormat="1" ht="29" spans="1:16">
      <c r="A9" s="1047"/>
      <c r="B9" s="1048"/>
      <c r="C9" s="1010" t="s">
        <v>273</v>
      </c>
      <c r="D9" s="1011" t="s">
        <v>274</v>
      </c>
      <c r="E9" s="1012" t="s">
        <v>265</v>
      </c>
      <c r="F9" s="720" t="s">
        <v>266</v>
      </c>
      <c r="G9" s="1017" t="s">
        <v>275</v>
      </c>
      <c r="H9" s="1014" t="s">
        <v>193</v>
      </c>
      <c r="I9" s="720" t="s">
        <v>266</v>
      </c>
      <c r="J9" s="720" t="s">
        <v>266</v>
      </c>
      <c r="K9" s="720" t="s">
        <v>266</v>
      </c>
      <c r="L9" s="720" t="s">
        <v>266</v>
      </c>
      <c r="M9" s="720" t="s">
        <v>266</v>
      </c>
      <c r="N9" s="720" t="s">
        <v>266</v>
      </c>
      <c r="O9" s="720" t="s">
        <v>266</v>
      </c>
      <c r="P9" s="1016"/>
    </row>
    <row r="10" s="992" customFormat="1" ht="29" spans="1:16">
      <c r="A10" s="1049" t="s">
        <v>276</v>
      </c>
      <c r="B10" s="1044" t="s">
        <v>277</v>
      </c>
      <c r="C10" s="1010" t="s">
        <v>263</v>
      </c>
      <c r="D10" s="1011" t="s">
        <v>278</v>
      </c>
      <c r="E10" s="1012" t="s">
        <v>265</v>
      </c>
      <c r="F10" s="720" t="s">
        <v>266</v>
      </c>
      <c r="G10" s="1050" t="s">
        <v>279</v>
      </c>
      <c r="H10" s="1016" t="s">
        <v>280</v>
      </c>
      <c r="I10" s="720" t="s">
        <v>266</v>
      </c>
      <c r="J10" s="720" t="s">
        <v>266</v>
      </c>
      <c r="K10" s="720" t="s">
        <v>266</v>
      </c>
      <c r="L10" s="720" t="s">
        <v>266</v>
      </c>
      <c r="M10" s="720" t="s">
        <v>266</v>
      </c>
      <c r="N10" s="720" t="s">
        <v>266</v>
      </c>
      <c r="O10" s="720" t="s">
        <v>266</v>
      </c>
      <c r="P10" s="1016"/>
    </row>
    <row r="11" s="995" customFormat="1" ht="26" spans="1:16">
      <c r="A11" s="1051"/>
      <c r="B11" s="1052"/>
      <c r="C11" s="1022" t="s">
        <v>268</v>
      </c>
      <c r="D11" s="1023" t="s">
        <v>281</v>
      </c>
      <c r="E11" s="1024" t="s">
        <v>282</v>
      </c>
      <c r="F11" s="1025" t="s">
        <v>272</v>
      </c>
      <c r="G11" s="1053"/>
      <c r="H11" s="1054" t="s">
        <v>193</v>
      </c>
      <c r="I11" s="1055" t="s">
        <v>266</v>
      </c>
      <c r="J11" s="1055" t="s">
        <v>266</v>
      </c>
      <c r="K11" s="1055" t="s">
        <v>266</v>
      </c>
      <c r="L11" s="1055" t="s">
        <v>266</v>
      </c>
      <c r="M11" s="1055" t="s">
        <v>266</v>
      </c>
      <c r="N11" s="1055" t="s">
        <v>266</v>
      </c>
      <c r="O11" s="1055" t="s">
        <v>266</v>
      </c>
      <c r="P11" s="1029"/>
    </row>
    <row r="12" s="995" customFormat="1" ht="26" spans="1:16">
      <c r="A12" s="1056"/>
      <c r="B12" s="1057"/>
      <c r="C12" s="1022" t="s">
        <v>273</v>
      </c>
      <c r="D12" s="1023" t="s">
        <v>283</v>
      </c>
      <c r="E12" s="1024" t="s">
        <v>282</v>
      </c>
      <c r="F12" s="1025" t="s">
        <v>272</v>
      </c>
      <c r="G12" s="1058"/>
      <c r="H12" s="1054" t="s">
        <v>193</v>
      </c>
      <c r="I12" s="1055" t="s">
        <v>266</v>
      </c>
      <c r="J12" s="1055" t="s">
        <v>266</v>
      </c>
      <c r="K12" s="1055" t="s">
        <v>266</v>
      </c>
      <c r="L12" s="1055" t="s">
        <v>266</v>
      </c>
      <c r="M12" s="1055" t="s">
        <v>266</v>
      </c>
      <c r="N12" s="1055" t="s">
        <v>266</v>
      </c>
      <c r="O12" s="1055" t="s">
        <v>266</v>
      </c>
      <c r="P12" s="1029"/>
    </row>
    <row r="13" s="993" customFormat="1" ht="49" customHeight="1" spans="1:16">
      <c r="A13" s="1049" t="s">
        <v>284</v>
      </c>
      <c r="B13" s="1044" t="s">
        <v>285</v>
      </c>
      <c r="C13" s="1010" t="s">
        <v>263</v>
      </c>
      <c r="D13" s="1011" t="s">
        <v>286</v>
      </c>
      <c r="E13" s="1012" t="s">
        <v>265</v>
      </c>
      <c r="F13" s="720" t="s">
        <v>266</v>
      </c>
      <c r="G13" s="1013" t="s">
        <v>287</v>
      </c>
      <c r="H13" s="1014" t="s">
        <v>193</v>
      </c>
      <c r="I13" s="729" t="s">
        <v>272</v>
      </c>
      <c r="J13" s="720" t="s">
        <v>266</v>
      </c>
      <c r="K13" s="729" t="s">
        <v>272</v>
      </c>
      <c r="L13" s="729" t="s">
        <v>272</v>
      </c>
      <c r="M13" s="720" t="s">
        <v>266</v>
      </c>
      <c r="N13" s="720" t="s">
        <v>266</v>
      </c>
      <c r="O13" s="720" t="s">
        <v>266</v>
      </c>
      <c r="P13" s="1016"/>
    </row>
    <row r="14" s="993" customFormat="1" ht="43.5" spans="1:16">
      <c r="A14" s="1059"/>
      <c r="B14" s="1046"/>
      <c r="C14" s="1010" t="s">
        <v>268</v>
      </c>
      <c r="D14" s="1011" t="s">
        <v>288</v>
      </c>
      <c r="E14" s="1012" t="s">
        <v>265</v>
      </c>
      <c r="F14" s="720" t="s">
        <v>266</v>
      </c>
      <c r="G14" s="1013" t="s">
        <v>289</v>
      </c>
      <c r="H14" s="1014" t="s">
        <v>193</v>
      </c>
      <c r="I14" s="729" t="s">
        <v>272</v>
      </c>
      <c r="J14" s="720" t="s">
        <v>266</v>
      </c>
      <c r="K14" s="729" t="s">
        <v>272</v>
      </c>
      <c r="L14" s="729" t="s">
        <v>272</v>
      </c>
      <c r="M14" s="720" t="s">
        <v>266</v>
      </c>
      <c r="N14" s="720" t="s">
        <v>266</v>
      </c>
      <c r="O14" s="720" t="s">
        <v>266</v>
      </c>
      <c r="P14" s="1016"/>
    </row>
    <row r="15" s="994" customFormat="1" ht="26" spans="1:16">
      <c r="A15" s="1051"/>
      <c r="B15" s="1052"/>
      <c r="C15" s="1022" t="s">
        <v>276</v>
      </c>
      <c r="D15" s="1023" t="s">
        <v>286</v>
      </c>
      <c r="E15" s="1024" t="s">
        <v>265</v>
      </c>
      <c r="F15" s="1025" t="s">
        <v>272</v>
      </c>
      <c r="G15" s="1023" t="s">
        <v>290</v>
      </c>
      <c r="H15" s="1029" t="s">
        <v>291</v>
      </c>
      <c r="I15" s="1055" t="s">
        <v>272</v>
      </c>
      <c r="J15" s="1055" t="s">
        <v>266</v>
      </c>
      <c r="K15" s="1055" t="s">
        <v>272</v>
      </c>
      <c r="L15" s="1055" t="s">
        <v>272</v>
      </c>
      <c r="M15" s="1055" t="s">
        <v>272</v>
      </c>
      <c r="N15" s="1055" t="s">
        <v>266</v>
      </c>
      <c r="O15" s="1055" t="s">
        <v>272</v>
      </c>
      <c r="P15" s="1029" t="s">
        <v>292</v>
      </c>
    </row>
    <row r="16" s="994" customFormat="1" ht="26" spans="1:16">
      <c r="A16" s="1056"/>
      <c r="B16" s="1057"/>
      <c r="C16" s="1022" t="s">
        <v>293</v>
      </c>
      <c r="D16" s="1023" t="s">
        <v>288</v>
      </c>
      <c r="E16" s="1024" t="s">
        <v>265</v>
      </c>
      <c r="F16" s="1025" t="s">
        <v>272</v>
      </c>
      <c r="G16" s="1023" t="s">
        <v>294</v>
      </c>
      <c r="H16" s="1029" t="s">
        <v>291</v>
      </c>
      <c r="I16" s="1055" t="s">
        <v>272</v>
      </c>
      <c r="J16" s="1055" t="s">
        <v>266</v>
      </c>
      <c r="K16" s="1055" t="s">
        <v>272</v>
      </c>
      <c r="L16" s="1055" t="s">
        <v>272</v>
      </c>
      <c r="M16" s="1055" t="s">
        <v>272</v>
      </c>
      <c r="N16" s="1055" t="s">
        <v>266</v>
      </c>
      <c r="O16" s="1055" t="s">
        <v>272</v>
      </c>
      <c r="P16" s="1029" t="s">
        <v>292</v>
      </c>
    </row>
    <row r="17" s="993" customFormat="1" ht="26" spans="1:16">
      <c r="A17" s="1049" t="s">
        <v>295</v>
      </c>
      <c r="B17" s="1044" t="s">
        <v>296</v>
      </c>
      <c r="C17" s="1010" t="s">
        <v>297</v>
      </c>
      <c r="D17" s="1011" t="s">
        <v>298</v>
      </c>
      <c r="E17" s="1012" t="s">
        <v>265</v>
      </c>
      <c r="F17" s="720" t="s">
        <v>266</v>
      </c>
      <c r="G17" s="1060" t="s">
        <v>299</v>
      </c>
      <c r="H17" s="1016" t="s">
        <v>291</v>
      </c>
      <c r="I17" s="720" t="s">
        <v>266</v>
      </c>
      <c r="J17" s="720" t="s">
        <v>266</v>
      </c>
      <c r="K17" s="720" t="s">
        <v>266</v>
      </c>
      <c r="L17" s="1035" t="s">
        <v>272</v>
      </c>
      <c r="M17" s="720" t="s">
        <v>266</v>
      </c>
      <c r="N17" s="720" t="s">
        <v>266</v>
      </c>
      <c r="O17" s="720" t="s">
        <v>266</v>
      </c>
      <c r="P17" s="1061" t="s">
        <v>300</v>
      </c>
    </row>
    <row r="18" s="993" customFormat="1" ht="26" spans="1:16">
      <c r="A18" s="1059"/>
      <c r="B18" s="1046"/>
      <c r="C18" s="1010" t="s">
        <v>263</v>
      </c>
      <c r="D18" s="1011" t="s">
        <v>301</v>
      </c>
      <c r="E18" s="1012" t="s">
        <v>282</v>
      </c>
      <c r="F18" s="1018" t="s">
        <v>272</v>
      </c>
      <c r="G18" s="1062"/>
      <c r="H18" s="1029" t="s">
        <v>291</v>
      </c>
      <c r="I18" s="1035" t="s">
        <v>266</v>
      </c>
      <c r="J18" s="1035" t="s">
        <v>266</v>
      </c>
      <c r="K18" s="1035" t="s">
        <v>266</v>
      </c>
      <c r="L18" s="1035" t="s">
        <v>272</v>
      </c>
      <c r="M18" s="1035" t="s">
        <v>266</v>
      </c>
      <c r="N18" s="1035" t="s">
        <v>266</v>
      </c>
      <c r="O18" s="1035" t="s">
        <v>266</v>
      </c>
      <c r="P18" s="1063"/>
    </row>
    <row r="19" s="993" customFormat="1" ht="26" spans="1:16">
      <c r="A19" s="1059"/>
      <c r="B19" s="1046"/>
      <c r="C19" s="1010" t="s">
        <v>268</v>
      </c>
      <c r="D19" s="1011" t="s">
        <v>302</v>
      </c>
      <c r="E19" s="1012" t="s">
        <v>282</v>
      </c>
      <c r="F19" s="1018" t="s">
        <v>272</v>
      </c>
      <c r="G19" s="1062"/>
      <c r="H19" s="1029" t="s">
        <v>291</v>
      </c>
      <c r="I19" s="1035" t="s">
        <v>266</v>
      </c>
      <c r="J19" s="1035" t="s">
        <v>266</v>
      </c>
      <c r="K19" s="1035" t="s">
        <v>266</v>
      </c>
      <c r="L19" s="1035" t="s">
        <v>272</v>
      </c>
      <c r="M19" s="1035" t="s">
        <v>266</v>
      </c>
      <c r="N19" s="1035" t="s">
        <v>266</v>
      </c>
      <c r="O19" s="1035" t="s">
        <v>266</v>
      </c>
      <c r="P19" s="1063"/>
    </row>
    <row r="20" s="993" customFormat="1" ht="26" spans="1:16">
      <c r="A20" s="1064"/>
      <c r="B20" s="1048"/>
      <c r="C20" s="1010" t="s">
        <v>273</v>
      </c>
      <c r="D20" s="1011" t="s">
        <v>303</v>
      </c>
      <c r="E20" s="1012" t="s">
        <v>265</v>
      </c>
      <c r="F20" s="720" t="s">
        <v>266</v>
      </c>
      <c r="G20" s="1065"/>
      <c r="H20" s="1016" t="s">
        <v>291</v>
      </c>
      <c r="I20" s="720" t="s">
        <v>266</v>
      </c>
      <c r="J20" s="720" t="s">
        <v>266</v>
      </c>
      <c r="K20" s="720" t="s">
        <v>266</v>
      </c>
      <c r="L20" s="729" t="s">
        <v>272</v>
      </c>
      <c r="M20" s="720" t="s">
        <v>266</v>
      </c>
      <c r="N20" s="720" t="s">
        <v>266</v>
      </c>
      <c r="O20" s="720" t="s">
        <v>266</v>
      </c>
      <c r="P20" s="1066"/>
    </row>
    <row r="21" s="992" customFormat="1" ht="26" spans="1:16">
      <c r="A21" s="1049" t="s">
        <v>304</v>
      </c>
      <c r="B21" s="1044" t="s">
        <v>305</v>
      </c>
      <c r="C21" s="1010" t="s">
        <v>263</v>
      </c>
      <c r="D21" s="1011" t="s">
        <v>306</v>
      </c>
      <c r="E21" s="1012" t="s">
        <v>265</v>
      </c>
      <c r="F21" s="720" t="s">
        <v>266</v>
      </c>
      <c r="G21" s="1060" t="s">
        <v>307</v>
      </c>
      <c r="H21" s="1017" t="s">
        <v>291</v>
      </c>
      <c r="I21" s="720" t="s">
        <v>266</v>
      </c>
      <c r="J21" s="720" t="s">
        <v>266</v>
      </c>
      <c r="K21" s="720" t="s">
        <v>266</v>
      </c>
      <c r="L21" s="729" t="s">
        <v>272</v>
      </c>
      <c r="M21" s="720" t="s">
        <v>266</v>
      </c>
      <c r="N21" s="720" t="s">
        <v>266</v>
      </c>
      <c r="O21" s="720" t="s">
        <v>266</v>
      </c>
      <c r="P21" s="1030"/>
    </row>
    <row r="22" s="992" customFormat="1" ht="26" spans="1:16">
      <c r="A22" s="1064"/>
      <c r="B22" s="1048"/>
      <c r="C22" s="1010" t="s">
        <v>268</v>
      </c>
      <c r="D22" s="1011" t="s">
        <v>308</v>
      </c>
      <c r="E22" s="1012" t="s">
        <v>265</v>
      </c>
      <c r="F22" s="720" t="s">
        <v>266</v>
      </c>
      <c r="G22" s="1065"/>
      <c r="H22" s="1017" t="s">
        <v>291</v>
      </c>
      <c r="I22" s="720" t="s">
        <v>266</v>
      </c>
      <c r="J22" s="720" t="s">
        <v>266</v>
      </c>
      <c r="K22" s="720" t="s">
        <v>266</v>
      </c>
      <c r="L22" s="729" t="s">
        <v>272</v>
      </c>
      <c r="M22" s="720" t="s">
        <v>266</v>
      </c>
      <c r="N22" s="720" t="s">
        <v>266</v>
      </c>
      <c r="O22" s="720" t="s">
        <v>266</v>
      </c>
      <c r="P22" s="1030"/>
    </row>
    <row r="23" s="992" customFormat="1" ht="28.4" customHeight="1" spans="1:16">
      <c r="A23" s="1010" t="s">
        <v>309</v>
      </c>
      <c r="B23" s="1011" t="s">
        <v>310</v>
      </c>
      <c r="C23" s="1010" t="s">
        <v>297</v>
      </c>
      <c r="D23" s="1011" t="s">
        <v>311</v>
      </c>
      <c r="E23" s="1012" t="s">
        <v>265</v>
      </c>
      <c r="F23" s="720" t="s">
        <v>266</v>
      </c>
      <c r="G23" s="1016" t="s">
        <v>312</v>
      </c>
      <c r="H23" s="1014" t="s">
        <v>193</v>
      </c>
      <c r="I23" s="720" t="s">
        <v>266</v>
      </c>
      <c r="J23" s="720" t="s">
        <v>266</v>
      </c>
      <c r="K23" s="720" t="s">
        <v>266</v>
      </c>
      <c r="L23" s="720" t="s">
        <v>266</v>
      </c>
      <c r="M23" s="720" t="s">
        <v>266</v>
      </c>
      <c r="N23" s="720" t="s">
        <v>266</v>
      </c>
      <c r="O23" s="720" t="s">
        <v>266</v>
      </c>
      <c r="P23" s="1014"/>
    </row>
    <row r="24" s="993" customFormat="1" ht="29" spans="1:16">
      <c r="A24" s="1010" t="s">
        <v>313</v>
      </c>
      <c r="B24" s="1011" t="s">
        <v>314</v>
      </c>
      <c r="C24" s="1010" t="s">
        <v>193</v>
      </c>
      <c r="D24" s="1010" t="s">
        <v>193</v>
      </c>
      <c r="E24" s="1012" t="s">
        <v>265</v>
      </c>
      <c r="F24" s="720" t="s">
        <v>266</v>
      </c>
      <c r="G24" s="1017" t="s">
        <v>315</v>
      </c>
      <c r="H24" s="1014" t="s">
        <v>193</v>
      </c>
      <c r="I24" s="729" t="s">
        <v>272</v>
      </c>
      <c r="J24" s="720" t="s">
        <v>266</v>
      </c>
      <c r="K24" s="720" t="s">
        <v>266</v>
      </c>
      <c r="L24" s="720" t="s">
        <v>266</v>
      </c>
      <c r="M24" s="720" t="s">
        <v>266</v>
      </c>
      <c r="N24" s="720" t="s">
        <v>266</v>
      </c>
      <c r="O24" s="720" t="s">
        <v>266</v>
      </c>
      <c r="P24" s="1016"/>
    </row>
    <row r="25" s="993" customFormat="1" ht="26" spans="1:16">
      <c r="A25" s="1010" t="s">
        <v>316</v>
      </c>
      <c r="B25" s="1011" t="s">
        <v>317</v>
      </c>
      <c r="C25" s="1010" t="s">
        <v>193</v>
      </c>
      <c r="D25" s="1010" t="s">
        <v>193</v>
      </c>
      <c r="E25" s="1012" t="s">
        <v>265</v>
      </c>
      <c r="F25" s="720" t="s">
        <v>266</v>
      </c>
      <c r="G25" s="1067" t="s">
        <v>318</v>
      </c>
      <c r="H25" s="1016" t="s">
        <v>291</v>
      </c>
      <c r="I25" s="729" t="s">
        <v>272</v>
      </c>
      <c r="J25" s="720" t="s">
        <v>266</v>
      </c>
      <c r="K25" s="729" t="s">
        <v>272</v>
      </c>
      <c r="L25" s="729" t="s">
        <v>272</v>
      </c>
      <c r="M25" s="720" t="s">
        <v>266</v>
      </c>
      <c r="N25" s="729" t="s">
        <v>272</v>
      </c>
      <c r="O25" s="720" t="s">
        <v>266</v>
      </c>
      <c r="P25" s="1016"/>
    </row>
    <row r="26" s="992" customFormat="1" ht="39" spans="1:16">
      <c r="A26" s="1010" t="s">
        <v>319</v>
      </c>
      <c r="B26" s="1011" t="s">
        <v>320</v>
      </c>
      <c r="C26" s="1010" t="s">
        <v>193</v>
      </c>
      <c r="D26" s="1010" t="s">
        <v>193</v>
      </c>
      <c r="E26" s="1012" t="s">
        <v>265</v>
      </c>
      <c r="F26" s="720" t="s">
        <v>266</v>
      </c>
      <c r="G26" s="1011" t="s">
        <v>321</v>
      </c>
      <c r="H26" s="1014" t="s">
        <v>193</v>
      </c>
      <c r="I26" s="729" t="s">
        <v>272</v>
      </c>
      <c r="J26" s="720" t="s">
        <v>266</v>
      </c>
      <c r="K26" s="720" t="s">
        <v>266</v>
      </c>
      <c r="L26" s="720" t="s">
        <v>266</v>
      </c>
      <c r="M26" s="720" t="s">
        <v>266</v>
      </c>
      <c r="N26" s="720" t="s">
        <v>266</v>
      </c>
      <c r="O26" s="720" t="s">
        <v>266</v>
      </c>
      <c r="P26" s="1017" t="s">
        <v>322</v>
      </c>
    </row>
    <row r="27" s="992" customFormat="1" ht="26" spans="1:16">
      <c r="A27" s="1049" t="s">
        <v>323</v>
      </c>
      <c r="B27" s="1044" t="s">
        <v>324</v>
      </c>
      <c r="C27" s="1010" t="s">
        <v>263</v>
      </c>
      <c r="D27" s="1011" t="s">
        <v>325</v>
      </c>
      <c r="E27" s="1012" t="s">
        <v>265</v>
      </c>
      <c r="F27" s="720" t="s">
        <v>266</v>
      </c>
      <c r="G27" s="1068" t="s">
        <v>326</v>
      </c>
      <c r="H27" s="1014" t="s">
        <v>193</v>
      </c>
      <c r="I27" s="729" t="s">
        <v>272</v>
      </c>
      <c r="J27" s="720" t="s">
        <v>266</v>
      </c>
      <c r="K27" s="729" t="s">
        <v>272</v>
      </c>
      <c r="L27" s="720" t="s">
        <v>266</v>
      </c>
      <c r="M27" s="720" t="s">
        <v>266</v>
      </c>
      <c r="N27" s="720" t="s">
        <v>266</v>
      </c>
      <c r="O27" s="720" t="s">
        <v>266</v>
      </c>
      <c r="P27" s="1016"/>
    </row>
    <row r="28" s="1036" customFormat="1" ht="26" spans="1:16">
      <c r="A28" s="1059"/>
      <c r="B28" s="1046"/>
      <c r="C28" s="1010" t="s">
        <v>268</v>
      </c>
      <c r="D28" s="1011" t="s">
        <v>327</v>
      </c>
      <c r="E28" s="1012" t="s">
        <v>265</v>
      </c>
      <c r="F28" s="720" t="s">
        <v>266</v>
      </c>
      <c r="G28" s="1069"/>
      <c r="H28" s="1014" t="s">
        <v>193</v>
      </c>
      <c r="I28" s="729" t="s">
        <v>272</v>
      </c>
      <c r="J28" s="720" t="s">
        <v>266</v>
      </c>
      <c r="K28" s="729" t="s">
        <v>272</v>
      </c>
      <c r="L28" s="720" t="s">
        <v>266</v>
      </c>
      <c r="M28" s="720" t="s">
        <v>266</v>
      </c>
      <c r="N28" s="720" t="s">
        <v>266</v>
      </c>
      <c r="O28" s="720" t="s">
        <v>266</v>
      </c>
      <c r="P28" s="1016"/>
    </row>
    <row r="29" s="1037" customFormat="1" ht="26" spans="1:16">
      <c r="A29" s="1059"/>
      <c r="B29" s="1046"/>
      <c r="C29" s="1022" t="s">
        <v>273</v>
      </c>
      <c r="D29" s="1023" t="s">
        <v>328</v>
      </c>
      <c r="E29" s="1024" t="s">
        <v>265</v>
      </c>
      <c r="F29" s="1025" t="s">
        <v>272</v>
      </c>
      <c r="G29" s="1069"/>
      <c r="H29" s="1054" t="s">
        <v>193</v>
      </c>
      <c r="I29" s="1055" t="s">
        <v>272</v>
      </c>
      <c r="J29" s="1055" t="s">
        <v>266</v>
      </c>
      <c r="K29" s="1055" t="s">
        <v>272</v>
      </c>
      <c r="L29" s="1055" t="s">
        <v>266</v>
      </c>
      <c r="M29" s="1055" t="s">
        <v>266</v>
      </c>
      <c r="N29" s="1055" t="s">
        <v>266</v>
      </c>
      <c r="O29" s="1055" t="s">
        <v>266</v>
      </c>
      <c r="P29" s="1016"/>
    </row>
    <row r="30" s="1036" customFormat="1" ht="32.5" customHeight="1" spans="1:16">
      <c r="A30" s="1059"/>
      <c r="B30" s="1046"/>
      <c r="C30" s="1010" t="s">
        <v>329</v>
      </c>
      <c r="D30" s="1011" t="s">
        <v>330</v>
      </c>
      <c r="E30" s="1012" t="s">
        <v>265</v>
      </c>
      <c r="F30" s="720" t="s">
        <v>266</v>
      </c>
      <c r="G30" s="1069"/>
      <c r="H30" s="1014" t="s">
        <v>193</v>
      </c>
      <c r="I30" s="1035" t="s">
        <v>272</v>
      </c>
      <c r="J30" s="720" t="s">
        <v>266</v>
      </c>
      <c r="K30" s="1035" t="s">
        <v>272</v>
      </c>
      <c r="L30" s="720" t="s">
        <v>266</v>
      </c>
      <c r="M30" s="720" t="s">
        <v>266</v>
      </c>
      <c r="N30" s="720" t="s">
        <v>266</v>
      </c>
      <c r="O30" s="720" t="s">
        <v>266</v>
      </c>
      <c r="P30" s="1016" t="s">
        <v>331</v>
      </c>
    </row>
    <row r="31" s="1037" customFormat="1" ht="32.5" customHeight="1" spans="1:16">
      <c r="A31" s="1051"/>
      <c r="B31" s="1052"/>
      <c r="C31" s="1022" t="s">
        <v>332</v>
      </c>
      <c r="D31" s="1023" t="s">
        <v>333</v>
      </c>
      <c r="E31" s="1024" t="s">
        <v>282</v>
      </c>
      <c r="F31" s="1055" t="s">
        <v>272</v>
      </c>
      <c r="G31" s="1070"/>
      <c r="H31" s="1054" t="s">
        <v>193</v>
      </c>
      <c r="I31" s="1055" t="s">
        <v>272</v>
      </c>
      <c r="J31" s="1055" t="s">
        <v>266</v>
      </c>
      <c r="K31" s="1055" t="s">
        <v>272</v>
      </c>
      <c r="L31" s="1055" t="s">
        <v>266</v>
      </c>
      <c r="M31" s="1055" t="s">
        <v>266</v>
      </c>
      <c r="N31" s="1055" t="s">
        <v>266</v>
      </c>
      <c r="O31" s="1055" t="s">
        <v>266</v>
      </c>
      <c r="P31" s="1029"/>
    </row>
    <row r="32" s="1036" customFormat="1" ht="30" customHeight="1" spans="1:16">
      <c r="A32" s="1059"/>
      <c r="B32" s="1046"/>
      <c r="C32" s="1010" t="s">
        <v>334</v>
      </c>
      <c r="D32" s="1011" t="s">
        <v>335</v>
      </c>
      <c r="E32" s="1012" t="s">
        <v>265</v>
      </c>
      <c r="F32" s="720" t="s">
        <v>266</v>
      </c>
      <c r="G32" s="1069"/>
      <c r="H32" s="1014" t="s">
        <v>193</v>
      </c>
      <c r="I32" s="1035" t="s">
        <v>272</v>
      </c>
      <c r="J32" s="720" t="s">
        <v>266</v>
      </c>
      <c r="K32" s="1035" t="s">
        <v>272</v>
      </c>
      <c r="L32" s="720" t="s">
        <v>266</v>
      </c>
      <c r="M32" s="720" t="s">
        <v>266</v>
      </c>
      <c r="N32" s="720" t="s">
        <v>266</v>
      </c>
      <c r="O32" s="720" t="s">
        <v>266</v>
      </c>
      <c r="P32" s="1016" t="s">
        <v>331</v>
      </c>
    </row>
    <row r="33" s="1036" customFormat="1" ht="26" spans="1:16">
      <c r="A33" s="1064"/>
      <c r="B33" s="1048"/>
      <c r="C33" s="1010" t="s">
        <v>336</v>
      </c>
      <c r="D33" s="1011" t="s">
        <v>337</v>
      </c>
      <c r="E33" s="1012" t="s">
        <v>265</v>
      </c>
      <c r="F33" s="720" t="s">
        <v>266</v>
      </c>
      <c r="G33" s="1071"/>
      <c r="H33" s="1014" t="s">
        <v>193</v>
      </c>
      <c r="I33" s="729" t="s">
        <v>272</v>
      </c>
      <c r="J33" s="720" t="s">
        <v>266</v>
      </c>
      <c r="K33" s="729" t="s">
        <v>272</v>
      </c>
      <c r="L33" s="720" t="s">
        <v>266</v>
      </c>
      <c r="M33" s="720" t="s">
        <v>266</v>
      </c>
      <c r="N33" s="720" t="s">
        <v>266</v>
      </c>
      <c r="O33" s="720" t="s">
        <v>266</v>
      </c>
      <c r="P33" s="1016"/>
    </row>
    <row r="34" s="1037" customFormat="1" ht="14.5" spans="1:16">
      <c r="A34" s="1072" t="s">
        <v>338</v>
      </c>
      <c r="B34" s="1073" t="s">
        <v>339</v>
      </c>
      <c r="C34" s="1022" t="s">
        <v>297</v>
      </c>
      <c r="D34" s="1022" t="s">
        <v>340</v>
      </c>
      <c r="E34" s="1024" t="s">
        <v>282</v>
      </c>
      <c r="F34" s="1035" t="s">
        <v>272</v>
      </c>
      <c r="G34" s="1073" t="s">
        <v>341</v>
      </c>
      <c r="H34" s="1014" t="s">
        <v>193</v>
      </c>
      <c r="I34" s="1035" t="s">
        <v>272</v>
      </c>
      <c r="J34" s="1035" t="s">
        <v>266</v>
      </c>
      <c r="K34" s="1035" t="s">
        <v>272</v>
      </c>
      <c r="L34" s="1035" t="s">
        <v>266</v>
      </c>
      <c r="M34" s="1035" t="s">
        <v>266</v>
      </c>
      <c r="N34" s="1035" t="s">
        <v>266</v>
      </c>
      <c r="O34" s="1035" t="s">
        <v>266</v>
      </c>
      <c r="P34" s="1016"/>
    </row>
    <row r="35" s="1037" customFormat="1" ht="14.5" spans="1:16">
      <c r="A35" s="1074"/>
      <c r="B35" s="1075"/>
      <c r="C35" s="1022" t="s">
        <v>263</v>
      </c>
      <c r="D35" s="1022" t="s">
        <v>342</v>
      </c>
      <c r="E35" s="1024" t="s">
        <v>282</v>
      </c>
      <c r="F35" s="1055" t="s">
        <v>272</v>
      </c>
      <c r="G35" s="1075"/>
      <c r="H35" s="1054" t="s">
        <v>193</v>
      </c>
      <c r="I35" s="1055" t="s">
        <v>272</v>
      </c>
      <c r="J35" s="1055" t="s">
        <v>266</v>
      </c>
      <c r="K35" s="1055" t="s">
        <v>272</v>
      </c>
      <c r="L35" s="1055" t="s">
        <v>266</v>
      </c>
      <c r="M35" s="1055" t="s">
        <v>266</v>
      </c>
      <c r="N35" s="1055" t="s">
        <v>266</v>
      </c>
      <c r="O35" s="1055" t="s">
        <v>266</v>
      </c>
      <c r="P35" s="1029"/>
    </row>
    <row r="36" s="1037" customFormat="1" ht="14.5" spans="1:16">
      <c r="A36" s="1074"/>
      <c r="B36" s="1075"/>
      <c r="C36" s="1022" t="s">
        <v>273</v>
      </c>
      <c r="D36" s="1022" t="s">
        <v>343</v>
      </c>
      <c r="E36" s="1024" t="s">
        <v>282</v>
      </c>
      <c r="F36" s="1035" t="s">
        <v>272</v>
      </c>
      <c r="G36" s="1075"/>
      <c r="H36" s="1014" t="s">
        <v>193</v>
      </c>
      <c r="I36" s="1035" t="s">
        <v>272</v>
      </c>
      <c r="J36" s="1035" t="s">
        <v>266</v>
      </c>
      <c r="K36" s="1035" t="s">
        <v>272</v>
      </c>
      <c r="L36" s="1035" t="s">
        <v>266</v>
      </c>
      <c r="M36" s="1035" t="s">
        <v>266</v>
      </c>
      <c r="N36" s="1035" t="s">
        <v>266</v>
      </c>
      <c r="O36" s="1035" t="s">
        <v>266</v>
      </c>
      <c r="P36" s="1016"/>
    </row>
    <row r="37" s="1037" customFormat="1" ht="14.5" spans="1:16">
      <c r="A37" s="1076"/>
      <c r="B37" s="1077"/>
      <c r="C37" s="1022" t="s">
        <v>329</v>
      </c>
      <c r="D37" s="1022" t="s">
        <v>344</v>
      </c>
      <c r="E37" s="1024" t="s">
        <v>282</v>
      </c>
      <c r="F37" s="1018" t="s">
        <v>272</v>
      </c>
      <c r="G37" s="1077"/>
      <c r="H37" s="1014" t="s">
        <v>193</v>
      </c>
      <c r="I37" s="1035" t="s">
        <v>272</v>
      </c>
      <c r="J37" s="1035" t="s">
        <v>266</v>
      </c>
      <c r="K37" s="1035" t="s">
        <v>272</v>
      </c>
      <c r="L37" s="1035" t="s">
        <v>266</v>
      </c>
      <c r="M37" s="1035" t="s">
        <v>266</v>
      </c>
      <c r="N37" s="1035" t="s">
        <v>266</v>
      </c>
      <c r="O37" s="1035" t="s">
        <v>266</v>
      </c>
      <c r="P37" s="1016"/>
    </row>
    <row r="38" s="993" customFormat="1" ht="14.5" spans="1:16">
      <c r="A38" s="1049" t="s">
        <v>345</v>
      </c>
      <c r="B38" s="1044" t="s">
        <v>346</v>
      </c>
      <c r="C38" s="1010" t="s">
        <v>297</v>
      </c>
      <c r="D38" s="1010" t="s">
        <v>347</v>
      </c>
      <c r="E38" s="1078" t="s">
        <v>282</v>
      </c>
      <c r="F38" s="720" t="s">
        <v>266</v>
      </c>
      <c r="G38" s="1044" t="s">
        <v>348</v>
      </c>
      <c r="H38" s="1016" t="s">
        <v>291</v>
      </c>
      <c r="I38" s="729" t="s">
        <v>272</v>
      </c>
      <c r="J38" s="720" t="s">
        <v>266</v>
      </c>
      <c r="K38" s="729" t="s">
        <v>272</v>
      </c>
      <c r="L38" s="720" t="s">
        <v>272</v>
      </c>
      <c r="M38" s="720" t="s">
        <v>266</v>
      </c>
      <c r="N38" s="729" t="s">
        <v>272</v>
      </c>
      <c r="O38" s="720" t="s">
        <v>266</v>
      </c>
      <c r="P38" s="1016"/>
    </row>
    <row r="39" s="994" customFormat="1" ht="14.5" spans="1:16">
      <c r="A39" s="1051"/>
      <c r="B39" s="1052"/>
      <c r="C39" s="1022" t="s">
        <v>263</v>
      </c>
      <c r="D39" s="1022" t="s">
        <v>349</v>
      </c>
      <c r="E39" s="1079" t="s">
        <v>282</v>
      </c>
      <c r="F39" s="1025" t="s">
        <v>272</v>
      </c>
      <c r="G39" s="1052"/>
      <c r="H39" s="1029" t="s">
        <v>291</v>
      </c>
      <c r="I39" s="1055" t="s">
        <v>272</v>
      </c>
      <c r="J39" s="1055" t="s">
        <v>266</v>
      </c>
      <c r="K39" s="1055" t="s">
        <v>272</v>
      </c>
      <c r="L39" s="1055" t="s">
        <v>266</v>
      </c>
      <c r="M39" s="1055" t="s">
        <v>266</v>
      </c>
      <c r="N39" s="1055" t="s">
        <v>272</v>
      </c>
      <c r="O39" s="1055" t="s">
        <v>266</v>
      </c>
      <c r="P39" s="1029"/>
    </row>
    <row r="40" s="994" customFormat="1" ht="14.5" spans="1:16">
      <c r="A40" s="1051"/>
      <c r="B40" s="1052"/>
      <c r="C40" s="1022" t="s">
        <v>268</v>
      </c>
      <c r="D40" s="1022" t="s">
        <v>350</v>
      </c>
      <c r="E40" s="1079" t="s">
        <v>282</v>
      </c>
      <c r="F40" s="1025" t="s">
        <v>272</v>
      </c>
      <c r="G40" s="1052"/>
      <c r="H40" s="1029" t="s">
        <v>291</v>
      </c>
      <c r="I40" s="1055" t="s">
        <v>272</v>
      </c>
      <c r="J40" s="1055" t="s">
        <v>266</v>
      </c>
      <c r="K40" s="1055" t="s">
        <v>272</v>
      </c>
      <c r="L40" s="1055" t="s">
        <v>266</v>
      </c>
      <c r="M40" s="1055" t="s">
        <v>266</v>
      </c>
      <c r="N40" s="1055" t="s">
        <v>272</v>
      </c>
      <c r="O40" s="1055" t="s">
        <v>266</v>
      </c>
      <c r="P40" s="1029"/>
    </row>
    <row r="41" s="993" customFormat="1" ht="14.5" spans="1:16">
      <c r="A41" s="1064"/>
      <c r="B41" s="1048"/>
      <c r="C41" s="1010" t="s">
        <v>273</v>
      </c>
      <c r="D41" s="1010" t="s">
        <v>351</v>
      </c>
      <c r="E41" s="1078" t="s">
        <v>282</v>
      </c>
      <c r="F41" s="720" t="s">
        <v>266</v>
      </c>
      <c r="G41" s="1048"/>
      <c r="H41" s="1016" t="s">
        <v>291</v>
      </c>
      <c r="I41" s="729" t="s">
        <v>272</v>
      </c>
      <c r="J41" s="720" t="s">
        <v>266</v>
      </c>
      <c r="K41" s="729" t="s">
        <v>272</v>
      </c>
      <c r="L41" s="720" t="s">
        <v>272</v>
      </c>
      <c r="M41" s="720" t="s">
        <v>266</v>
      </c>
      <c r="N41" s="729" t="s">
        <v>272</v>
      </c>
      <c r="O41" s="720" t="s">
        <v>266</v>
      </c>
      <c r="P41" s="1016"/>
    </row>
    <row r="42" s="993" customFormat="1" ht="58" spans="1:16">
      <c r="A42" s="1049" t="s">
        <v>352</v>
      </c>
      <c r="B42" s="1044" t="s">
        <v>353</v>
      </c>
      <c r="C42" s="1010" t="s">
        <v>263</v>
      </c>
      <c r="D42" s="1011" t="s">
        <v>354</v>
      </c>
      <c r="E42" s="1012" t="s">
        <v>265</v>
      </c>
      <c r="F42" s="720" t="s">
        <v>266</v>
      </c>
      <c r="G42" s="1044" t="s">
        <v>355</v>
      </c>
      <c r="H42" s="1016" t="s">
        <v>291</v>
      </c>
      <c r="I42" s="729" t="s">
        <v>272</v>
      </c>
      <c r="J42" s="720" t="s">
        <v>266</v>
      </c>
      <c r="K42" s="1035" t="s">
        <v>272</v>
      </c>
      <c r="L42" s="729" t="s">
        <v>272</v>
      </c>
      <c r="M42" s="720" t="s">
        <v>266</v>
      </c>
      <c r="N42" s="720" t="s">
        <v>266</v>
      </c>
      <c r="O42" s="720" t="s">
        <v>266</v>
      </c>
      <c r="P42" s="1017" t="s">
        <v>356</v>
      </c>
    </row>
    <row r="43" s="993" customFormat="1" ht="26" spans="1:16">
      <c r="A43" s="1059"/>
      <c r="B43" s="1046"/>
      <c r="C43" s="1010" t="s">
        <v>268</v>
      </c>
      <c r="D43" s="1011" t="s">
        <v>357</v>
      </c>
      <c r="E43" s="1012" t="s">
        <v>282</v>
      </c>
      <c r="F43" s="1035" t="s">
        <v>266</v>
      </c>
      <c r="G43" s="1046"/>
      <c r="H43" s="1016" t="s">
        <v>291</v>
      </c>
      <c r="I43" s="1035" t="s">
        <v>272</v>
      </c>
      <c r="J43" s="1035" t="s">
        <v>266</v>
      </c>
      <c r="K43" s="1035" t="s">
        <v>272</v>
      </c>
      <c r="L43" s="1035" t="s">
        <v>272</v>
      </c>
      <c r="M43" s="1035" t="s">
        <v>266</v>
      </c>
      <c r="N43" s="1032" t="s">
        <v>272</v>
      </c>
      <c r="O43" s="1035" t="s">
        <v>266</v>
      </c>
      <c r="P43" s="1016"/>
    </row>
    <row r="44" s="994" customFormat="1" ht="26" spans="1:16">
      <c r="A44" s="1056"/>
      <c r="B44" s="1057"/>
      <c r="C44" s="1010" t="s">
        <v>273</v>
      </c>
      <c r="D44" s="1011" t="s">
        <v>358</v>
      </c>
      <c r="E44" s="1012" t="s">
        <v>282</v>
      </c>
      <c r="F44" s="1035" t="s">
        <v>266</v>
      </c>
      <c r="G44" s="1057"/>
      <c r="H44" s="1016" t="s">
        <v>291</v>
      </c>
      <c r="I44" s="1035" t="s">
        <v>272</v>
      </c>
      <c r="J44" s="1035" t="s">
        <v>266</v>
      </c>
      <c r="K44" s="1035" t="s">
        <v>272</v>
      </c>
      <c r="L44" s="1035" t="s">
        <v>272</v>
      </c>
      <c r="M44" s="1035" t="s">
        <v>266</v>
      </c>
      <c r="N44" s="1032" t="s">
        <v>272</v>
      </c>
      <c r="O44" s="1035" t="s">
        <v>266</v>
      </c>
      <c r="P44" s="1029"/>
    </row>
    <row r="45" s="995" customFormat="1" ht="26" spans="1:16">
      <c r="A45" s="1022" t="s">
        <v>359</v>
      </c>
      <c r="B45" s="1023" t="s">
        <v>360</v>
      </c>
      <c r="C45" s="1022" t="s">
        <v>193</v>
      </c>
      <c r="D45" s="1022" t="s">
        <v>193</v>
      </c>
      <c r="E45" s="1024" t="s">
        <v>282</v>
      </c>
      <c r="F45" s="1025" t="s">
        <v>272</v>
      </c>
      <c r="G45" s="1023" t="s">
        <v>361</v>
      </c>
      <c r="H45" s="1029" t="s">
        <v>291</v>
      </c>
      <c r="I45" s="1055" t="s">
        <v>272</v>
      </c>
      <c r="J45" s="1055" t="s">
        <v>266</v>
      </c>
      <c r="K45" s="1055" t="s">
        <v>272</v>
      </c>
      <c r="L45" s="1055" t="s">
        <v>272</v>
      </c>
      <c r="M45" s="1055" t="s">
        <v>272</v>
      </c>
      <c r="N45" s="1055" t="s">
        <v>272</v>
      </c>
      <c r="O45" s="1055" t="s">
        <v>272</v>
      </c>
      <c r="P45" s="1080"/>
    </row>
    <row r="46" s="995" customFormat="1" ht="26" spans="1:16">
      <c r="A46" s="1022" t="s">
        <v>362</v>
      </c>
      <c r="B46" s="1023" t="s">
        <v>363</v>
      </c>
      <c r="C46" s="1022" t="s">
        <v>193</v>
      </c>
      <c r="D46" s="1022" t="s">
        <v>193</v>
      </c>
      <c r="E46" s="1024" t="s">
        <v>282</v>
      </c>
      <c r="F46" s="1025" t="s">
        <v>272</v>
      </c>
      <c r="G46" s="1023" t="s">
        <v>361</v>
      </c>
      <c r="H46" s="1029" t="s">
        <v>291</v>
      </c>
      <c r="I46" s="1055" t="s">
        <v>272</v>
      </c>
      <c r="J46" s="1055" t="s">
        <v>266</v>
      </c>
      <c r="K46" s="1055" t="s">
        <v>272</v>
      </c>
      <c r="L46" s="1055" t="s">
        <v>272</v>
      </c>
      <c r="M46" s="1055" t="s">
        <v>266</v>
      </c>
      <c r="N46" s="1055" t="s">
        <v>272</v>
      </c>
      <c r="O46" s="1055" t="s">
        <v>266</v>
      </c>
      <c r="P46" s="1080"/>
    </row>
    <row r="47" s="995" customFormat="1" ht="26" spans="1:16">
      <c r="A47" s="1022" t="s">
        <v>364</v>
      </c>
      <c r="B47" s="1023" t="s">
        <v>365</v>
      </c>
      <c r="C47" s="1022" t="s">
        <v>193</v>
      </c>
      <c r="D47" s="1022" t="s">
        <v>193</v>
      </c>
      <c r="E47" s="1024" t="s">
        <v>265</v>
      </c>
      <c r="F47" s="1025" t="s">
        <v>272</v>
      </c>
      <c r="G47" s="1023" t="s">
        <v>366</v>
      </c>
      <c r="H47" s="1029" t="s">
        <v>291</v>
      </c>
      <c r="I47" s="1055" t="s">
        <v>272</v>
      </c>
      <c r="J47" s="1055" t="s">
        <v>266</v>
      </c>
      <c r="K47" s="1055" t="s">
        <v>272</v>
      </c>
      <c r="L47" s="1055" t="s">
        <v>272</v>
      </c>
      <c r="M47" s="1055" t="s">
        <v>266</v>
      </c>
      <c r="N47" s="1055" t="s">
        <v>272</v>
      </c>
      <c r="O47" s="1055" t="s">
        <v>266</v>
      </c>
      <c r="P47" s="1080"/>
    </row>
    <row r="48" s="995" customFormat="1" ht="26" spans="1:16">
      <c r="A48" s="1022" t="s">
        <v>367</v>
      </c>
      <c r="B48" s="1023" t="s">
        <v>368</v>
      </c>
      <c r="C48" s="1022" t="s">
        <v>193</v>
      </c>
      <c r="D48" s="1022" t="s">
        <v>193</v>
      </c>
      <c r="E48" s="1024" t="s">
        <v>265</v>
      </c>
      <c r="F48" s="1025" t="s">
        <v>272</v>
      </c>
      <c r="G48" s="1023" t="s">
        <v>369</v>
      </c>
      <c r="H48" s="1029" t="s">
        <v>291</v>
      </c>
      <c r="I48" s="1055" t="s">
        <v>272</v>
      </c>
      <c r="J48" s="1055" t="s">
        <v>266</v>
      </c>
      <c r="K48" s="1055" t="s">
        <v>272</v>
      </c>
      <c r="L48" s="1055" t="s">
        <v>272</v>
      </c>
      <c r="M48" s="1055" t="s">
        <v>266</v>
      </c>
      <c r="N48" s="1055" t="s">
        <v>272</v>
      </c>
      <c r="O48" s="1055" t="s">
        <v>266</v>
      </c>
      <c r="P48" s="1080"/>
    </row>
    <row r="49" s="995" customFormat="1" ht="26" spans="1:16">
      <c r="A49" s="1081" t="s">
        <v>370</v>
      </c>
      <c r="B49" s="1082" t="s">
        <v>371</v>
      </c>
      <c r="C49" s="1022" t="s">
        <v>263</v>
      </c>
      <c r="D49" s="1023" t="s">
        <v>372</v>
      </c>
      <c r="E49" s="1024" t="s">
        <v>282</v>
      </c>
      <c r="F49" s="1025" t="s">
        <v>272</v>
      </c>
      <c r="G49" s="1023" t="s">
        <v>361</v>
      </c>
      <c r="H49" s="1029" t="s">
        <v>291</v>
      </c>
      <c r="I49" s="1055" t="s">
        <v>272</v>
      </c>
      <c r="J49" s="1055" t="s">
        <v>266</v>
      </c>
      <c r="K49" s="1055" t="s">
        <v>272</v>
      </c>
      <c r="L49" s="1055" t="s">
        <v>272</v>
      </c>
      <c r="M49" s="1055" t="s">
        <v>266</v>
      </c>
      <c r="N49" s="1055" t="s">
        <v>272</v>
      </c>
      <c r="O49" s="1055" t="s">
        <v>266</v>
      </c>
      <c r="P49" s="1080"/>
    </row>
    <row r="50" s="995" customFormat="1" ht="26" spans="1:16">
      <c r="A50" s="1051"/>
      <c r="B50" s="1052"/>
      <c r="C50" s="1022" t="s">
        <v>268</v>
      </c>
      <c r="D50" s="1023" t="s">
        <v>373</v>
      </c>
      <c r="E50" s="1024" t="s">
        <v>282</v>
      </c>
      <c r="F50" s="1025" t="s">
        <v>272</v>
      </c>
      <c r="G50" s="1023" t="s">
        <v>361</v>
      </c>
      <c r="H50" s="1029" t="s">
        <v>291</v>
      </c>
      <c r="I50" s="1055" t="s">
        <v>272</v>
      </c>
      <c r="J50" s="1055" t="s">
        <v>266</v>
      </c>
      <c r="K50" s="1055" t="s">
        <v>272</v>
      </c>
      <c r="L50" s="1055" t="s">
        <v>272</v>
      </c>
      <c r="M50" s="1055" t="s">
        <v>266</v>
      </c>
      <c r="N50" s="1055" t="s">
        <v>272</v>
      </c>
      <c r="O50" s="1055" t="s">
        <v>266</v>
      </c>
      <c r="P50" s="1080"/>
    </row>
    <row r="51" s="995" customFormat="1" ht="26" spans="1:16">
      <c r="A51" s="1051"/>
      <c r="B51" s="1052"/>
      <c r="C51" s="1022" t="s">
        <v>273</v>
      </c>
      <c r="D51" s="1023" t="s">
        <v>374</v>
      </c>
      <c r="E51" s="1024" t="s">
        <v>282</v>
      </c>
      <c r="F51" s="1025" t="s">
        <v>272</v>
      </c>
      <c r="G51" s="1023" t="s">
        <v>361</v>
      </c>
      <c r="H51" s="1029" t="s">
        <v>291</v>
      </c>
      <c r="I51" s="1055" t="s">
        <v>272</v>
      </c>
      <c r="J51" s="1055" t="s">
        <v>266</v>
      </c>
      <c r="K51" s="1055" t="s">
        <v>272</v>
      </c>
      <c r="L51" s="1055" t="s">
        <v>272</v>
      </c>
      <c r="M51" s="1055" t="s">
        <v>266</v>
      </c>
      <c r="N51" s="1055" t="s">
        <v>272</v>
      </c>
      <c r="O51" s="1055" t="s">
        <v>266</v>
      </c>
      <c r="P51" s="1080"/>
    </row>
    <row r="52" s="995" customFormat="1" ht="26" spans="1:16">
      <c r="A52" s="1051"/>
      <c r="B52" s="1052"/>
      <c r="C52" s="1022" t="s">
        <v>329</v>
      </c>
      <c r="D52" s="1023" t="s">
        <v>375</v>
      </c>
      <c r="E52" s="1024" t="s">
        <v>282</v>
      </c>
      <c r="F52" s="1025" t="s">
        <v>272</v>
      </c>
      <c r="G52" s="1023" t="s">
        <v>361</v>
      </c>
      <c r="H52" s="1029" t="s">
        <v>291</v>
      </c>
      <c r="I52" s="1055" t="s">
        <v>272</v>
      </c>
      <c r="J52" s="1055" t="s">
        <v>266</v>
      </c>
      <c r="K52" s="1055" t="s">
        <v>272</v>
      </c>
      <c r="L52" s="1055" t="s">
        <v>272</v>
      </c>
      <c r="M52" s="1055" t="s">
        <v>266</v>
      </c>
      <c r="N52" s="1055" t="s">
        <v>272</v>
      </c>
      <c r="O52" s="1055" t="s">
        <v>266</v>
      </c>
      <c r="P52" s="1080"/>
    </row>
    <row r="53" s="995" customFormat="1" ht="26" spans="1:16">
      <c r="A53" s="1056"/>
      <c r="B53" s="1057"/>
      <c r="C53" s="1022" t="s">
        <v>332</v>
      </c>
      <c r="D53" s="1023" t="s">
        <v>376</v>
      </c>
      <c r="E53" s="1024" t="s">
        <v>282</v>
      </c>
      <c r="F53" s="1025" t="s">
        <v>272</v>
      </c>
      <c r="G53" s="1023" t="s">
        <v>361</v>
      </c>
      <c r="H53" s="1029" t="s">
        <v>291</v>
      </c>
      <c r="I53" s="1055" t="s">
        <v>272</v>
      </c>
      <c r="J53" s="1055" t="s">
        <v>266</v>
      </c>
      <c r="K53" s="1055" t="s">
        <v>272</v>
      </c>
      <c r="L53" s="1055" t="s">
        <v>272</v>
      </c>
      <c r="M53" s="1055" t="s">
        <v>266</v>
      </c>
      <c r="N53" s="1055" t="s">
        <v>272</v>
      </c>
      <c r="O53" s="1055" t="s">
        <v>266</v>
      </c>
      <c r="P53" s="1080"/>
    </row>
    <row r="57" spans="1:16">
      <c r="A57" s="989" t="s">
        <v>377</v>
      </c>
      <c r="B57" s="989" t="s">
        <v>378</v>
      </c>
      <c r="C57" s="989" t="s">
        <v>379</v>
      </c>
      <c r="D57" s="989" t="s">
        <v>380</v>
      </c>
      <c r="E57" s="989" t="s">
        <v>381</v>
      </c>
      <c r="F57" s="989" t="s">
        <v>382</v>
      </c>
      <c r="G57" s="989" t="s">
        <v>383</v>
      </c>
    </row>
    <row r="58" spans="1:16">
      <c r="A58" s="989" t="s">
        <v>384</v>
      </c>
      <c r="B58" s="989" t="s">
        <v>385</v>
      </c>
      <c r="C58" s="989"/>
      <c r="D58" s="989" t="s">
        <v>386</v>
      </c>
      <c r="E58" s="989"/>
      <c r="F58" s="989" t="s">
        <v>9</v>
      </c>
      <c r="G58" s="989"/>
    </row>
    <row r="59" spans="1:16">
      <c r="A59" s="989" t="s">
        <v>387</v>
      </c>
      <c r="B59" s="989" t="s">
        <v>388</v>
      </c>
      <c r="C59" s="989"/>
      <c r="D59" s="989"/>
      <c r="E59" s="989"/>
      <c r="F59" s="989" t="s">
        <v>9</v>
      </c>
      <c r="G59" s="989"/>
    </row>
    <row r="60" spans="1:16">
      <c r="A60" s="989" t="s">
        <v>231</v>
      </c>
      <c r="B60" s="989" t="s">
        <v>389</v>
      </c>
      <c r="C60" s="989"/>
      <c r="D60" s="989"/>
      <c r="E60" s="989"/>
      <c r="F60" s="989" t="s">
        <v>9</v>
      </c>
      <c r="G60" s="989"/>
    </row>
    <row r="61" spans="1:16">
      <c r="A61" s="989" t="s">
        <v>390</v>
      </c>
      <c r="B61" s="989" t="s">
        <v>391</v>
      </c>
      <c r="C61" s="989"/>
      <c r="D61" s="989"/>
      <c r="E61" s="989"/>
      <c r="F61" s="989" t="s">
        <v>9</v>
      </c>
      <c r="G61" s="989"/>
    </row>
    <row r="62" spans="1:16">
      <c r="A62" s="989" t="s">
        <v>392</v>
      </c>
      <c r="B62" s="989" t="s">
        <v>393</v>
      </c>
      <c r="C62" s="989"/>
      <c r="D62" s="989"/>
      <c r="E62" s="989"/>
      <c r="F62" s="989" t="s">
        <v>9</v>
      </c>
      <c r="G62" s="989"/>
    </row>
    <row r="63" spans="1:16">
      <c r="A63" s="989" t="s">
        <v>394</v>
      </c>
      <c r="B63" s="989" t="s">
        <v>395</v>
      </c>
      <c r="C63" s="989"/>
      <c r="D63" s="989"/>
      <c r="E63" s="989"/>
      <c r="F63" s="989" t="s">
        <v>9</v>
      </c>
      <c r="G63" s="989"/>
    </row>
    <row r="64" spans="1:16">
      <c r="A64" s="989"/>
      <c r="B64" s="989"/>
      <c r="C64" s="989"/>
      <c r="D64" s="989"/>
      <c r="E64" s="989"/>
      <c r="F64" s="989"/>
      <c r="G64" s="989"/>
    </row>
    <row r="65" spans="1:7">
      <c r="A65" s="989"/>
      <c r="B65" s="989"/>
      <c r="C65" s="989"/>
      <c r="D65" s="989"/>
      <c r="E65" s="989"/>
      <c r="F65" s="989"/>
      <c r="G65" s="989"/>
    </row>
    <row r="66" spans="1:7">
      <c r="A66" s="989"/>
      <c r="B66" s="989"/>
      <c r="C66" s="989"/>
      <c r="D66" s="989"/>
      <c r="E66" s="989"/>
      <c r="F66" s="989"/>
      <c r="G66" s="989"/>
    </row>
    <row r="67" spans="1:7">
      <c r="A67" s="989"/>
      <c r="B67" s="989"/>
      <c r="C67" s="989"/>
      <c r="D67" s="989"/>
      <c r="E67" s="989"/>
      <c r="F67" s="989"/>
      <c r="G67" s="989"/>
    </row>
    <row r="68" spans="1:7">
      <c r="A68" s="989"/>
      <c r="B68" s="989"/>
      <c r="C68" s="989"/>
      <c r="D68" s="989"/>
      <c r="E68" s="989"/>
      <c r="F68" s="989"/>
      <c r="G68" s="989"/>
    </row>
  </sheetData>
  <mergeCells count="34">
    <mergeCell ref="A4:P4"/>
    <mergeCell ref="A5:F5"/>
    <mergeCell ref="J5:K5"/>
    <mergeCell ref="L5:M5"/>
    <mergeCell ref="N5:O5"/>
    <mergeCell ref="A7:A9"/>
    <mergeCell ref="A10:A12"/>
    <mergeCell ref="A13:A16"/>
    <mergeCell ref="A17:A20"/>
    <mergeCell ref="A21:A22"/>
    <mergeCell ref="A27:A33"/>
    <mergeCell ref="A34:A37"/>
    <mergeCell ref="A38:A41"/>
    <mergeCell ref="A42:A44"/>
    <mergeCell ref="A49:A53"/>
    <mergeCell ref="B7:B9"/>
    <mergeCell ref="B10:B12"/>
    <mergeCell ref="B13:B16"/>
    <mergeCell ref="B17:B20"/>
    <mergeCell ref="B21:B22"/>
    <mergeCell ref="B27:B33"/>
    <mergeCell ref="B34:B37"/>
    <mergeCell ref="B38:B41"/>
    <mergeCell ref="B42:B44"/>
    <mergeCell ref="B49:B53"/>
    <mergeCell ref="G10:G12"/>
    <mergeCell ref="G17:G20"/>
    <mergeCell ref="G21:G22"/>
    <mergeCell ref="G27:G33"/>
    <mergeCell ref="G34:G37"/>
    <mergeCell ref="G38:G41"/>
    <mergeCell ref="G42:G44"/>
    <mergeCell ref="P17:P20"/>
    <mergeCell ref="A1:E3"/>
  </mergeCells>
  <conditionalFormatting sqref="C49:C52">
    <cfRule type="expression" dxfId="3" priority="8" stopIfTrue="1">
      <formula>IF(C49="No",TRUE,Flase)</formula>
    </cfRule>
  </conditionalFormatting>
  <conditionalFormatting sqref="E24:E37">
    <cfRule type="expression" dxfId="3" priority="6" stopIfTrue="1">
      <formula>IF(E24="No",TRUE,Flase)</formula>
    </cfRule>
  </conditionalFormatting>
  <conditionalFormatting sqref="E45:E53">
    <cfRule type="expression" dxfId="3" priority="4" stopIfTrue="1">
      <formula>IF(E45="No",TRUE,Flase)</formula>
    </cfRule>
  </conditionalFormatting>
  <conditionalFormatting sqref="C13:E23 C38:E44">
    <cfRule type="expression" dxfId="3" priority="28" stopIfTrue="1">
      <formula>IF(C13="No",TRUE,Flase)</formula>
    </cfRule>
  </conditionalFormatting>
  <conditionalFormatting sqref="C27:D33">
    <cfRule type="expression" dxfId="3" priority="16" stopIfTrue="1">
      <formula>IF(C27="No",TRUE,Flase)</formula>
    </cfRule>
  </conditionalFormatting>
  <conditionalFormatting sqref="A34:D34 C35:D37">
    <cfRule type="expression" dxfId="3" priority="2" stopIfTrue="1">
      <formula>IF(A34="No",TRUE,Flase)</formula>
    </cfRule>
  </conditionalFormatting>
  <dataValidations count="2">
    <dataValidation type="list" allowBlank="1" showInputMessage="1" showErrorMessage="1" sqref="E7:E53">
      <formula1>"M,U"</formula1>
    </dataValidation>
    <dataValidation type="list" allowBlank="1" showInputMessage="1" showErrorMessage="1" sqref="F1:F3 F7:F56 F69:F1048576 I7:O53">
      <formula1>"Y,N"</formula1>
    </dataValidation>
  </dataValidations>
  <pageMargins left="0.7" right="0.7" top="0.75" bottom="0.75" header="0.3" footer="0.3"/>
  <pageSetup paperSize="9" scale="2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9"/>
  <sheetViews>
    <sheetView showGridLines="0" topLeftCell="B1" workbookViewId="0">
      <selection activeCell="A25" sqref="$A25:$XFD25"/>
    </sheetView>
  </sheetViews>
  <sheetFormatPr defaultColWidth="7.72727272727273" defaultRowHeight="13"/>
  <cols>
    <col min="1" max="1" width="10.4545454545455" style="996" customWidth="1"/>
    <col min="2" max="2" width="23.7272727272727" style="996" customWidth="1"/>
    <col min="3" max="3" width="10.6363636363636" style="996" customWidth="1"/>
    <col min="4" max="4" width="23.7272727272727" style="996" customWidth="1"/>
    <col min="5" max="5" width="8.36363636363636" style="996" customWidth="1"/>
    <col min="6" max="6" width="16.3636363636364" style="996" customWidth="1"/>
    <col min="7" max="7" width="29.6363636363636" style="996" customWidth="1"/>
    <col min="8" max="8" width="21.0909090909091" style="996" customWidth="1"/>
    <col min="9" max="9" width="9.72727272727273" style="997" customWidth="1"/>
    <col min="10" max="11" width="10.4545454545455" style="997" customWidth="1"/>
    <col min="12" max="14" width="8.90909090909091" style="997" customWidth="1"/>
    <col min="15" max="15" width="8" style="997" customWidth="1"/>
    <col min="16" max="16" width="7.72727272727273" style="997" customWidth="1"/>
    <col min="17" max="17" width="10.9090909090909" style="997" customWidth="1"/>
    <col min="18" max="18" width="39.6363636363636" style="998" customWidth="1"/>
    <col min="19" max="16384" width="7.72727272727273" style="996"/>
  </cols>
  <sheetData>
    <row r="1" ht="14.15" customHeight="1" spans="1:18">
      <c r="A1" s="999" t="s">
        <v>396</v>
      </c>
      <c r="B1" s="999"/>
      <c r="C1" s="999"/>
      <c r="D1" s="999"/>
      <c r="E1" s="999"/>
      <c r="F1" s="999"/>
      <c r="N1" s="1000" t="s">
        <v>397</v>
      </c>
      <c r="O1" s="1000"/>
      <c r="P1" s="1000"/>
      <c r="Q1" s="1000"/>
      <c r="R1" s="1001" t="s">
        <v>266</v>
      </c>
    </row>
    <row r="2" spans="1:18">
      <c r="A2" s="999"/>
      <c r="B2" s="999"/>
      <c r="C2" s="999"/>
      <c r="D2" s="999"/>
      <c r="E2" s="999"/>
      <c r="F2" s="999"/>
      <c r="N2" s="1000"/>
      <c r="O2" s="1000"/>
      <c r="P2" s="1000"/>
      <c r="Q2" s="1000"/>
      <c r="R2" s="1001"/>
    </row>
    <row r="3" spans="1:18">
      <c r="A3" s="1002"/>
      <c r="B3" s="1002"/>
      <c r="C3" s="1002"/>
      <c r="D3" s="1002"/>
      <c r="E3" s="1002"/>
      <c r="F3" s="1002"/>
      <c r="N3" s="1000"/>
      <c r="O3" s="1000"/>
      <c r="P3" s="1000"/>
      <c r="Q3" s="1000"/>
      <c r="R3" s="1001"/>
    </row>
    <row r="4" s="990" customFormat="1" ht="33.75" customHeight="1" spans="1:18">
      <c r="A4" s="1003" t="s">
        <v>239</v>
      </c>
      <c r="B4" s="1004"/>
      <c r="C4" s="1004"/>
      <c r="D4" s="1004"/>
      <c r="E4" s="1004"/>
      <c r="F4" s="1004"/>
      <c r="G4" s="1004"/>
      <c r="H4" s="1004"/>
      <c r="I4" s="1004"/>
      <c r="J4" s="1004"/>
      <c r="K4" s="1004"/>
      <c r="L4" s="1004"/>
      <c r="M4" s="1004"/>
      <c r="N4" s="1004"/>
      <c r="O4" s="1004"/>
      <c r="P4" s="1004"/>
      <c r="Q4" s="1004"/>
      <c r="R4" s="1004"/>
    </row>
    <row r="5" s="990" customFormat="1" ht="27.65" customHeight="1" spans="1:18">
      <c r="A5" s="1005" t="s">
        <v>240</v>
      </c>
      <c r="B5" s="1005"/>
      <c r="C5" s="1005"/>
      <c r="D5" s="1005"/>
      <c r="E5" s="1005"/>
      <c r="F5" s="1005"/>
      <c r="G5" s="1005" t="s">
        <v>241</v>
      </c>
      <c r="H5" s="1005"/>
      <c r="I5" s="1005" t="s">
        <v>242</v>
      </c>
      <c r="J5" s="1005" t="s">
        <v>243</v>
      </c>
      <c r="K5" s="1005"/>
      <c r="L5" s="1005" t="s">
        <v>244</v>
      </c>
      <c r="M5" s="1005"/>
      <c r="N5" s="1005"/>
      <c r="O5" s="1005" t="s">
        <v>245</v>
      </c>
      <c r="P5" s="1005"/>
      <c r="Q5" s="1005"/>
      <c r="R5" s="1005" t="s">
        <v>246</v>
      </c>
    </row>
    <row r="6" s="991" customFormat="1" ht="32.15" customHeight="1" spans="1:18">
      <c r="A6" s="1006" t="s">
        <v>247</v>
      </c>
      <c r="B6" s="1006" t="s">
        <v>248</v>
      </c>
      <c r="C6" s="1007" t="s">
        <v>249</v>
      </c>
      <c r="D6" s="1007" t="s">
        <v>250</v>
      </c>
      <c r="E6" s="1007" t="s">
        <v>251</v>
      </c>
      <c r="F6" s="1007" t="s">
        <v>252</v>
      </c>
      <c r="G6" s="1006" t="s">
        <v>253</v>
      </c>
      <c r="H6" s="1007" t="s">
        <v>254</v>
      </c>
      <c r="I6" s="1007" t="s">
        <v>242</v>
      </c>
      <c r="J6" s="1006" t="s">
        <v>255</v>
      </c>
      <c r="K6" s="1006" t="s">
        <v>256</v>
      </c>
      <c r="L6" s="1008" t="s">
        <v>257</v>
      </c>
      <c r="M6" s="1008" t="s">
        <v>398</v>
      </c>
      <c r="N6" s="1008" t="s">
        <v>258</v>
      </c>
      <c r="O6" s="1009" t="s">
        <v>259</v>
      </c>
      <c r="P6" s="1009" t="s">
        <v>260</v>
      </c>
      <c r="Q6" s="1009" t="s">
        <v>399</v>
      </c>
      <c r="R6" s="1006" t="s">
        <v>246</v>
      </c>
    </row>
    <row r="7" s="992" customFormat="1" ht="32.15" customHeight="1" spans="1:18">
      <c r="A7" s="1010" t="s">
        <v>261</v>
      </c>
      <c r="B7" s="1011" t="s">
        <v>400</v>
      </c>
      <c r="C7" s="1010" t="s">
        <v>263</v>
      </c>
      <c r="D7" s="1011" t="s">
        <v>264</v>
      </c>
      <c r="E7" s="1012" t="s">
        <v>265</v>
      </c>
      <c r="F7" s="720" t="s">
        <v>266</v>
      </c>
      <c r="G7" s="1013" t="s">
        <v>401</v>
      </c>
      <c r="H7" s="1014" t="s">
        <v>193</v>
      </c>
      <c r="I7" s="720" t="s">
        <v>266</v>
      </c>
      <c r="J7" s="720" t="s">
        <v>266</v>
      </c>
      <c r="K7" s="720" t="s">
        <v>266</v>
      </c>
      <c r="L7" s="720" t="s">
        <v>266</v>
      </c>
      <c r="M7" s="720" t="s">
        <v>266</v>
      </c>
      <c r="N7" s="720" t="s">
        <v>266</v>
      </c>
      <c r="O7" s="720" t="s">
        <v>266</v>
      </c>
      <c r="P7" s="1015" t="s">
        <v>266</v>
      </c>
      <c r="Q7" s="720" t="s">
        <v>266</v>
      </c>
      <c r="R7" s="1016"/>
    </row>
    <row r="8" s="992" customFormat="1" ht="43.5" spans="1:18">
      <c r="A8" s="1010"/>
      <c r="B8" s="1011"/>
      <c r="C8" s="1010" t="s">
        <v>268</v>
      </c>
      <c r="D8" s="1011" t="s">
        <v>269</v>
      </c>
      <c r="E8" s="1012" t="s">
        <v>265</v>
      </c>
      <c r="F8" s="720" t="s">
        <v>266</v>
      </c>
      <c r="G8" s="1017" t="s">
        <v>402</v>
      </c>
      <c r="H8" s="1017" t="s">
        <v>403</v>
      </c>
      <c r="I8" s="720" t="s">
        <v>266</v>
      </c>
      <c r="J8" s="720" t="s">
        <v>266</v>
      </c>
      <c r="K8" s="729" t="s">
        <v>272</v>
      </c>
      <c r="L8" s="729" t="s">
        <v>272</v>
      </c>
      <c r="M8" s="720" t="s">
        <v>266</v>
      </c>
      <c r="N8" s="720" t="s">
        <v>266</v>
      </c>
      <c r="O8" s="720" t="s">
        <v>266</v>
      </c>
      <c r="P8" s="1015" t="s">
        <v>266</v>
      </c>
      <c r="Q8" s="720" t="s">
        <v>266</v>
      </c>
      <c r="R8" s="1016"/>
    </row>
    <row r="9" s="992" customFormat="1" ht="29" spans="1:18">
      <c r="A9" s="1010"/>
      <c r="B9" s="1011"/>
      <c r="C9" s="1010" t="s">
        <v>273</v>
      </c>
      <c r="D9" s="1011" t="s">
        <v>274</v>
      </c>
      <c r="E9" s="1012" t="s">
        <v>265</v>
      </c>
      <c r="F9" s="720" t="s">
        <v>266</v>
      </c>
      <c r="G9" s="1013" t="s">
        <v>401</v>
      </c>
      <c r="H9" s="1014" t="s">
        <v>193</v>
      </c>
      <c r="I9" s="720" t="s">
        <v>266</v>
      </c>
      <c r="J9" s="720" t="s">
        <v>266</v>
      </c>
      <c r="K9" s="720" t="s">
        <v>266</v>
      </c>
      <c r="L9" s="720" t="s">
        <v>266</v>
      </c>
      <c r="M9" s="729" t="s">
        <v>272</v>
      </c>
      <c r="N9" s="720" t="s">
        <v>266</v>
      </c>
      <c r="O9" s="720" t="s">
        <v>266</v>
      </c>
      <c r="P9" s="1015" t="s">
        <v>266</v>
      </c>
      <c r="Q9" s="720" t="s">
        <v>272</v>
      </c>
      <c r="R9" s="1016"/>
    </row>
    <row r="10" s="992" customFormat="1" ht="24" customHeight="1" spans="1:18">
      <c r="A10" s="1010" t="s">
        <v>276</v>
      </c>
      <c r="B10" s="1011" t="s">
        <v>277</v>
      </c>
      <c r="C10" s="1010" t="s">
        <v>263</v>
      </c>
      <c r="D10" s="1011" t="s">
        <v>278</v>
      </c>
      <c r="E10" s="1012" t="s">
        <v>265</v>
      </c>
      <c r="F10" s="720" t="s">
        <v>266</v>
      </c>
      <c r="G10" s="1017" t="s">
        <v>404</v>
      </c>
      <c r="H10" s="1014" t="s">
        <v>193</v>
      </c>
      <c r="I10" s="720" t="s">
        <v>266</v>
      </c>
      <c r="J10" s="720" t="s">
        <v>266</v>
      </c>
      <c r="K10" s="720" t="s">
        <v>266</v>
      </c>
      <c r="L10" s="720" t="s">
        <v>266</v>
      </c>
      <c r="M10" s="720" t="s">
        <v>266</v>
      </c>
      <c r="N10" s="720" t="s">
        <v>266</v>
      </c>
      <c r="O10" s="720" t="s">
        <v>266</v>
      </c>
      <c r="P10" s="1015" t="s">
        <v>266</v>
      </c>
      <c r="Q10" s="720" t="s">
        <v>266</v>
      </c>
      <c r="R10" s="1016"/>
    </row>
    <row r="11" s="992" customFormat="1" ht="26" spans="1:18">
      <c r="A11" s="1010"/>
      <c r="B11" s="1011"/>
      <c r="C11" s="1010" t="s">
        <v>268</v>
      </c>
      <c r="D11" s="1011" t="s">
        <v>281</v>
      </c>
      <c r="E11" s="1012" t="s">
        <v>282</v>
      </c>
      <c r="F11" s="1018" t="s">
        <v>272</v>
      </c>
      <c r="G11" s="1017"/>
      <c r="H11" s="1014" t="s">
        <v>193</v>
      </c>
      <c r="I11" s="1019" t="s">
        <v>266</v>
      </c>
      <c r="J11" s="1019" t="s">
        <v>266</v>
      </c>
      <c r="K11" s="1019" t="s">
        <v>266</v>
      </c>
      <c r="L11" s="1019" t="s">
        <v>266</v>
      </c>
      <c r="M11" s="1019" t="s">
        <v>266</v>
      </c>
      <c r="N11" s="1019" t="s">
        <v>266</v>
      </c>
      <c r="O11" s="1019" t="s">
        <v>266</v>
      </c>
      <c r="P11" s="1015" t="s">
        <v>266</v>
      </c>
      <c r="Q11" s="1019" t="s">
        <v>266</v>
      </c>
      <c r="R11" s="1016"/>
    </row>
    <row r="12" s="992" customFormat="1" ht="26" spans="1:18">
      <c r="A12" s="1010"/>
      <c r="B12" s="1011"/>
      <c r="C12" s="1010" t="s">
        <v>273</v>
      </c>
      <c r="D12" s="1011" t="s">
        <v>283</v>
      </c>
      <c r="E12" s="1012" t="s">
        <v>282</v>
      </c>
      <c r="F12" s="1018" t="s">
        <v>272</v>
      </c>
      <c r="G12" s="1017"/>
      <c r="H12" s="1014" t="s">
        <v>193</v>
      </c>
      <c r="I12" s="1019" t="s">
        <v>266</v>
      </c>
      <c r="J12" s="1019" t="s">
        <v>266</v>
      </c>
      <c r="K12" s="1019" t="s">
        <v>266</v>
      </c>
      <c r="L12" s="1019" t="s">
        <v>266</v>
      </c>
      <c r="M12" s="1019" t="s">
        <v>266</v>
      </c>
      <c r="N12" s="1019" t="s">
        <v>266</v>
      </c>
      <c r="O12" s="1019" t="s">
        <v>266</v>
      </c>
      <c r="P12" s="1015" t="s">
        <v>266</v>
      </c>
      <c r="Q12" s="1019" t="s">
        <v>266</v>
      </c>
      <c r="R12" s="1016"/>
    </row>
    <row r="13" s="993" customFormat="1" ht="26" spans="1:18">
      <c r="A13" s="1010" t="s">
        <v>284</v>
      </c>
      <c r="B13" s="1011" t="s">
        <v>285</v>
      </c>
      <c r="C13" s="1010" t="s">
        <v>263</v>
      </c>
      <c r="D13" s="1011" t="s">
        <v>286</v>
      </c>
      <c r="E13" s="1011" t="s">
        <v>282</v>
      </c>
      <c r="F13" s="1018" t="s">
        <v>272</v>
      </c>
      <c r="G13" s="1016" t="s">
        <v>405</v>
      </c>
      <c r="H13" s="1014" t="s">
        <v>193</v>
      </c>
      <c r="I13" s="1019" t="s">
        <v>272</v>
      </c>
      <c r="J13" s="1019" t="s">
        <v>266</v>
      </c>
      <c r="K13" s="1019" t="s">
        <v>272</v>
      </c>
      <c r="L13" s="1019" t="s">
        <v>272</v>
      </c>
      <c r="M13" s="1019" t="s">
        <v>272</v>
      </c>
      <c r="N13" s="1019" t="s">
        <v>272</v>
      </c>
      <c r="O13" s="1019" t="s">
        <v>266</v>
      </c>
      <c r="P13" s="1015" t="s">
        <v>266</v>
      </c>
      <c r="Q13" s="1019" t="s">
        <v>272</v>
      </c>
      <c r="R13" s="1016"/>
    </row>
    <row r="14" s="993" customFormat="1" ht="26" spans="1:18">
      <c r="A14" s="1010"/>
      <c r="B14" s="1011"/>
      <c r="C14" s="1010" t="s">
        <v>268</v>
      </c>
      <c r="D14" s="1011" t="s">
        <v>288</v>
      </c>
      <c r="E14" s="1011" t="s">
        <v>282</v>
      </c>
      <c r="F14" s="1018" t="s">
        <v>272</v>
      </c>
      <c r="G14" s="1016" t="s">
        <v>406</v>
      </c>
      <c r="H14" s="1014" t="s">
        <v>193</v>
      </c>
      <c r="I14" s="1019" t="s">
        <v>272</v>
      </c>
      <c r="J14" s="1019" t="s">
        <v>266</v>
      </c>
      <c r="K14" s="1019" t="s">
        <v>272</v>
      </c>
      <c r="L14" s="1019" t="s">
        <v>272</v>
      </c>
      <c r="M14" s="1019" t="s">
        <v>272</v>
      </c>
      <c r="N14" s="1019" t="s">
        <v>272</v>
      </c>
      <c r="O14" s="1019" t="s">
        <v>266</v>
      </c>
      <c r="P14" s="1015" t="s">
        <v>266</v>
      </c>
      <c r="Q14" s="1019" t="s">
        <v>272</v>
      </c>
      <c r="R14" s="1016"/>
    </row>
    <row r="15" s="993" customFormat="1" ht="29" spans="1:18">
      <c r="A15" s="1010"/>
      <c r="B15" s="1011"/>
      <c r="C15" s="1010" t="s">
        <v>276</v>
      </c>
      <c r="D15" s="1011" t="s">
        <v>286</v>
      </c>
      <c r="E15" s="1012" t="s">
        <v>265</v>
      </c>
      <c r="F15" s="720" t="s">
        <v>266</v>
      </c>
      <c r="G15" s="1013" t="s">
        <v>407</v>
      </c>
      <c r="H15" s="1020" t="s">
        <v>193</v>
      </c>
      <c r="I15" s="729" t="s">
        <v>272</v>
      </c>
      <c r="J15" s="720" t="s">
        <v>266</v>
      </c>
      <c r="K15" s="729" t="s">
        <v>272</v>
      </c>
      <c r="L15" s="729" t="s">
        <v>272</v>
      </c>
      <c r="M15" s="720" t="s">
        <v>266</v>
      </c>
      <c r="N15" s="729" t="s">
        <v>272</v>
      </c>
      <c r="O15" s="720" t="s">
        <v>266</v>
      </c>
      <c r="P15" s="1015" t="s">
        <v>272</v>
      </c>
      <c r="Q15" s="720" t="s">
        <v>266</v>
      </c>
      <c r="R15" s="1016" t="s">
        <v>292</v>
      </c>
    </row>
    <row r="16" s="993" customFormat="1" ht="29" spans="1:18">
      <c r="A16" s="1010"/>
      <c r="B16" s="1011"/>
      <c r="C16" s="1010" t="s">
        <v>293</v>
      </c>
      <c r="D16" s="1011" t="s">
        <v>288</v>
      </c>
      <c r="E16" s="1012" t="s">
        <v>265</v>
      </c>
      <c r="F16" s="720" t="s">
        <v>266</v>
      </c>
      <c r="G16" s="1013" t="s">
        <v>408</v>
      </c>
      <c r="H16" s="1020" t="s">
        <v>193</v>
      </c>
      <c r="I16" s="729" t="s">
        <v>272</v>
      </c>
      <c r="J16" s="720" t="s">
        <v>266</v>
      </c>
      <c r="K16" s="729" t="s">
        <v>272</v>
      </c>
      <c r="L16" s="729" t="s">
        <v>272</v>
      </c>
      <c r="M16" s="720" t="s">
        <v>266</v>
      </c>
      <c r="N16" s="729" t="s">
        <v>272</v>
      </c>
      <c r="O16" s="720" t="s">
        <v>266</v>
      </c>
      <c r="P16" s="1015" t="s">
        <v>272</v>
      </c>
      <c r="Q16" s="720" t="s">
        <v>266</v>
      </c>
      <c r="R16" s="1016" t="s">
        <v>292</v>
      </c>
    </row>
    <row r="17" s="993" customFormat="1" ht="24" customHeight="1" spans="1:18">
      <c r="A17" s="1010" t="s">
        <v>295</v>
      </c>
      <c r="B17" s="1011" t="s">
        <v>296</v>
      </c>
      <c r="C17" s="1010" t="s">
        <v>297</v>
      </c>
      <c r="D17" s="1011" t="s">
        <v>298</v>
      </c>
      <c r="E17" s="1012" t="s">
        <v>265</v>
      </c>
      <c r="F17" s="720" t="s">
        <v>266</v>
      </c>
      <c r="G17" s="1013" t="s">
        <v>409</v>
      </c>
      <c r="H17" s="1020" t="s">
        <v>193</v>
      </c>
      <c r="I17" s="720" t="s">
        <v>266</v>
      </c>
      <c r="J17" s="720" t="s">
        <v>266</v>
      </c>
      <c r="K17" s="720" t="s">
        <v>266</v>
      </c>
      <c r="L17" s="720" t="s">
        <v>272</v>
      </c>
      <c r="M17" s="720" t="s">
        <v>272</v>
      </c>
      <c r="N17" s="720" t="s">
        <v>266</v>
      </c>
      <c r="O17" s="720" t="s">
        <v>266</v>
      </c>
      <c r="P17" s="1015" t="s">
        <v>266</v>
      </c>
      <c r="Q17" s="720" t="s">
        <v>272</v>
      </c>
      <c r="R17" s="1021" t="s">
        <v>410</v>
      </c>
    </row>
    <row r="18" s="994" customFormat="1" ht="26" spans="1:18">
      <c r="A18" s="1022"/>
      <c r="B18" s="1023"/>
      <c r="C18" s="1022" t="s">
        <v>263</v>
      </c>
      <c r="D18" s="1023" t="s">
        <v>301</v>
      </c>
      <c r="E18" s="1024" t="s">
        <v>282</v>
      </c>
      <c r="F18" s="1025" t="s">
        <v>272</v>
      </c>
      <c r="G18" s="1013"/>
      <c r="H18" s="1026" t="s">
        <v>193</v>
      </c>
      <c r="I18" s="1027" t="s">
        <v>266</v>
      </c>
      <c r="J18" s="1027" t="s">
        <v>266</v>
      </c>
      <c r="K18" s="1027" t="s">
        <v>266</v>
      </c>
      <c r="L18" s="1028" t="s">
        <v>272</v>
      </c>
      <c r="M18" s="1028" t="s">
        <v>272</v>
      </c>
      <c r="N18" s="1027" t="s">
        <v>266</v>
      </c>
      <c r="O18" s="1027" t="s">
        <v>266</v>
      </c>
      <c r="P18" s="1015" t="s">
        <v>266</v>
      </c>
      <c r="Q18" s="1027" t="s">
        <v>266</v>
      </c>
      <c r="R18" s="1029"/>
    </row>
    <row r="19" s="994" customFormat="1" ht="26" spans="1:18">
      <c r="A19" s="1022"/>
      <c r="B19" s="1023"/>
      <c r="C19" s="1022" t="s">
        <v>268</v>
      </c>
      <c r="D19" s="1023" t="s">
        <v>302</v>
      </c>
      <c r="E19" s="1024" t="s">
        <v>282</v>
      </c>
      <c r="F19" s="1025" t="s">
        <v>272</v>
      </c>
      <c r="G19" s="1013"/>
      <c r="H19" s="1026" t="s">
        <v>193</v>
      </c>
      <c r="I19" s="1027" t="s">
        <v>266</v>
      </c>
      <c r="J19" s="1027" t="s">
        <v>266</v>
      </c>
      <c r="K19" s="1027" t="s">
        <v>266</v>
      </c>
      <c r="L19" s="1028" t="s">
        <v>272</v>
      </c>
      <c r="M19" s="1028" t="s">
        <v>272</v>
      </c>
      <c r="N19" s="1027" t="s">
        <v>266</v>
      </c>
      <c r="O19" s="1027" t="s">
        <v>266</v>
      </c>
      <c r="P19" s="1015" t="s">
        <v>266</v>
      </c>
      <c r="Q19" s="1027" t="s">
        <v>266</v>
      </c>
      <c r="R19" s="1029"/>
    </row>
    <row r="20" s="993" customFormat="1" ht="26" spans="1:18">
      <c r="A20" s="1010"/>
      <c r="B20" s="1011"/>
      <c r="C20" s="1010" t="s">
        <v>273</v>
      </c>
      <c r="D20" s="1011" t="s">
        <v>303</v>
      </c>
      <c r="E20" s="1012" t="s">
        <v>265</v>
      </c>
      <c r="F20" s="720" t="s">
        <v>266</v>
      </c>
      <c r="G20" s="1017"/>
      <c r="H20" s="1020" t="s">
        <v>193</v>
      </c>
      <c r="I20" s="720" t="s">
        <v>266</v>
      </c>
      <c r="J20" s="720" t="s">
        <v>266</v>
      </c>
      <c r="K20" s="720" t="s">
        <v>266</v>
      </c>
      <c r="L20" s="720" t="s">
        <v>272</v>
      </c>
      <c r="M20" s="720" t="s">
        <v>272</v>
      </c>
      <c r="N20" s="720" t="s">
        <v>266</v>
      </c>
      <c r="O20" s="720" t="s">
        <v>266</v>
      </c>
      <c r="P20" s="1015" t="s">
        <v>266</v>
      </c>
      <c r="Q20" s="720" t="s">
        <v>272</v>
      </c>
      <c r="R20" s="1030"/>
    </row>
    <row r="21" s="995" customFormat="1" ht="24" customHeight="1" spans="1:18">
      <c r="A21" s="1010" t="s">
        <v>304</v>
      </c>
      <c r="B21" s="1011" t="s">
        <v>305</v>
      </c>
      <c r="C21" s="1010" t="s">
        <v>263</v>
      </c>
      <c r="D21" s="1011" t="s">
        <v>306</v>
      </c>
      <c r="E21" s="1024" t="s">
        <v>265</v>
      </c>
      <c r="F21" s="720" t="s">
        <v>266</v>
      </c>
      <c r="G21" s="1017" t="s">
        <v>411</v>
      </c>
      <c r="H21" s="1014" t="s">
        <v>193</v>
      </c>
      <c r="I21" s="720" t="s">
        <v>266</v>
      </c>
      <c r="J21" s="720" t="s">
        <v>266</v>
      </c>
      <c r="K21" s="720" t="s">
        <v>266</v>
      </c>
      <c r="L21" s="720" t="s">
        <v>272</v>
      </c>
      <c r="M21" s="720" t="s">
        <v>272</v>
      </c>
      <c r="N21" s="720" t="s">
        <v>266</v>
      </c>
      <c r="O21" s="720" t="s">
        <v>266</v>
      </c>
      <c r="P21" s="1015" t="s">
        <v>266</v>
      </c>
      <c r="Q21" s="720" t="s">
        <v>272</v>
      </c>
      <c r="R21" s="1021" t="s">
        <v>410</v>
      </c>
    </row>
    <row r="22" s="995" customFormat="1" ht="26" spans="1:18">
      <c r="A22" s="1010"/>
      <c r="B22" s="1011"/>
      <c r="C22" s="1010" t="s">
        <v>268</v>
      </c>
      <c r="D22" s="1011" t="s">
        <v>308</v>
      </c>
      <c r="E22" s="1024" t="s">
        <v>265</v>
      </c>
      <c r="F22" s="720" t="s">
        <v>266</v>
      </c>
      <c r="G22" s="1017"/>
      <c r="H22" s="1014" t="s">
        <v>193</v>
      </c>
      <c r="I22" s="720" t="s">
        <v>266</v>
      </c>
      <c r="J22" s="720" t="s">
        <v>266</v>
      </c>
      <c r="K22" s="720" t="s">
        <v>266</v>
      </c>
      <c r="L22" s="720" t="s">
        <v>272</v>
      </c>
      <c r="M22" s="720" t="s">
        <v>272</v>
      </c>
      <c r="N22" s="720" t="s">
        <v>266</v>
      </c>
      <c r="O22" s="720" t="s">
        <v>266</v>
      </c>
      <c r="P22" s="1015" t="s">
        <v>266</v>
      </c>
      <c r="Q22" s="720" t="s">
        <v>272</v>
      </c>
      <c r="R22" s="1021" t="s">
        <v>410</v>
      </c>
    </row>
    <row r="23" s="992" customFormat="1" ht="28.4" customHeight="1" spans="1:18">
      <c r="A23" s="1010" t="s">
        <v>309</v>
      </c>
      <c r="B23" s="1011" t="s">
        <v>310</v>
      </c>
      <c r="C23" s="1010" t="s">
        <v>297</v>
      </c>
      <c r="D23" s="1011" t="s">
        <v>311</v>
      </c>
      <c r="E23" s="1012" t="s">
        <v>265</v>
      </c>
      <c r="F23" s="720" t="s">
        <v>266</v>
      </c>
      <c r="G23" s="1017" t="s">
        <v>312</v>
      </c>
      <c r="H23" s="1014" t="s">
        <v>193</v>
      </c>
      <c r="I23" s="720" t="s">
        <v>266</v>
      </c>
      <c r="J23" s="720" t="s">
        <v>266</v>
      </c>
      <c r="K23" s="720" t="s">
        <v>266</v>
      </c>
      <c r="L23" s="720" t="s">
        <v>266</v>
      </c>
      <c r="M23" s="720" t="s">
        <v>266</v>
      </c>
      <c r="N23" s="720" t="s">
        <v>266</v>
      </c>
      <c r="O23" s="720" t="s">
        <v>266</v>
      </c>
      <c r="P23" s="1015" t="s">
        <v>266</v>
      </c>
      <c r="Q23" s="720" t="s">
        <v>266</v>
      </c>
      <c r="R23" s="1014"/>
    </row>
    <row r="24" s="993" customFormat="1" ht="29" spans="1:18">
      <c r="A24" s="1010" t="s">
        <v>313</v>
      </c>
      <c r="B24" s="1011" t="s">
        <v>314</v>
      </c>
      <c r="C24" s="1010" t="s">
        <v>193</v>
      </c>
      <c r="D24" s="1010" t="s">
        <v>193</v>
      </c>
      <c r="E24" s="1012" t="s">
        <v>265</v>
      </c>
      <c r="F24" s="720" t="s">
        <v>266</v>
      </c>
      <c r="G24" s="1017" t="s">
        <v>315</v>
      </c>
      <c r="H24" s="1014" t="s">
        <v>193</v>
      </c>
      <c r="I24" s="729" t="s">
        <v>272</v>
      </c>
      <c r="J24" s="720" t="s">
        <v>266</v>
      </c>
      <c r="K24" s="1031" t="s">
        <v>266</v>
      </c>
      <c r="L24" s="720" t="s">
        <v>266</v>
      </c>
      <c r="M24" s="720" t="s">
        <v>266</v>
      </c>
      <c r="N24" s="720" t="s">
        <v>266</v>
      </c>
      <c r="O24" s="720" t="s">
        <v>266</v>
      </c>
      <c r="P24" s="1015" t="s">
        <v>266</v>
      </c>
      <c r="Q24" s="720" t="s">
        <v>266</v>
      </c>
      <c r="R24" s="1016"/>
    </row>
    <row r="25" s="993" customFormat="1" ht="29" spans="1:18">
      <c r="A25" s="1010" t="s">
        <v>316</v>
      </c>
      <c r="B25" s="1011" t="s">
        <v>317</v>
      </c>
      <c r="C25" s="1010" t="s">
        <v>193</v>
      </c>
      <c r="D25" s="1010" t="s">
        <v>193</v>
      </c>
      <c r="E25" s="1012" t="s">
        <v>265</v>
      </c>
      <c r="F25" s="720" t="s">
        <v>266</v>
      </c>
      <c r="G25" s="1013" t="s">
        <v>412</v>
      </c>
      <c r="H25" s="1020" t="s">
        <v>193</v>
      </c>
      <c r="I25" s="1019" t="s">
        <v>272</v>
      </c>
      <c r="J25" s="1019" t="s">
        <v>266</v>
      </c>
      <c r="K25" s="1019" t="s">
        <v>272</v>
      </c>
      <c r="L25" s="1019" t="s">
        <v>272</v>
      </c>
      <c r="M25" s="1019" t="s">
        <v>266</v>
      </c>
      <c r="N25" s="1032" t="s">
        <v>272</v>
      </c>
      <c r="O25" s="1019" t="s">
        <v>272</v>
      </c>
      <c r="P25" s="1015" t="s">
        <v>266</v>
      </c>
      <c r="Q25" s="1019" t="s">
        <v>266</v>
      </c>
      <c r="R25" s="1016"/>
    </row>
    <row r="26" s="993" customFormat="1" ht="24" customHeight="1" spans="1:18">
      <c r="A26" s="1010" t="s">
        <v>352</v>
      </c>
      <c r="B26" s="1011" t="s">
        <v>353</v>
      </c>
      <c r="C26" s="1010" t="s">
        <v>263</v>
      </c>
      <c r="D26" s="1011" t="s">
        <v>354</v>
      </c>
      <c r="E26" s="1012" t="s">
        <v>265</v>
      </c>
      <c r="F26" s="720" t="s">
        <v>266</v>
      </c>
      <c r="G26" s="1033" t="s">
        <v>413</v>
      </c>
      <c r="H26" s="1026" t="s">
        <v>414</v>
      </c>
      <c r="I26" s="729" t="s">
        <v>272</v>
      </c>
      <c r="J26" s="720" t="s">
        <v>266</v>
      </c>
      <c r="K26" s="729" t="s">
        <v>272</v>
      </c>
      <c r="L26" s="1031" t="s">
        <v>266</v>
      </c>
      <c r="M26" s="720" t="s">
        <v>266</v>
      </c>
      <c r="N26" s="720" t="s">
        <v>266</v>
      </c>
      <c r="O26" s="720" t="s">
        <v>266</v>
      </c>
      <c r="P26" s="1015" t="s">
        <v>266</v>
      </c>
      <c r="Q26" s="720" t="s">
        <v>266</v>
      </c>
      <c r="R26" s="1034" t="s">
        <v>415</v>
      </c>
    </row>
    <row r="27" s="993" customFormat="1" ht="26" spans="1:18">
      <c r="A27" s="1010"/>
      <c r="B27" s="1011"/>
      <c r="C27" s="1010" t="s">
        <v>268</v>
      </c>
      <c r="D27" s="1011" t="s">
        <v>357</v>
      </c>
      <c r="E27" s="1012" t="s">
        <v>282</v>
      </c>
      <c r="F27" s="1035" t="s">
        <v>272</v>
      </c>
      <c r="G27" s="1033"/>
      <c r="H27" s="1020" t="s">
        <v>193</v>
      </c>
      <c r="I27" s="1019" t="s">
        <v>272</v>
      </c>
      <c r="J27" s="1019" t="s">
        <v>266</v>
      </c>
      <c r="K27" s="1019" t="s">
        <v>272</v>
      </c>
      <c r="L27" s="1032" t="s">
        <v>272</v>
      </c>
      <c r="M27" s="1019" t="s">
        <v>266</v>
      </c>
      <c r="N27" s="1019" t="s">
        <v>266</v>
      </c>
      <c r="O27" s="1032" t="s">
        <v>272</v>
      </c>
      <c r="P27" s="1015" t="s">
        <v>266</v>
      </c>
      <c r="Q27" s="1019" t="s">
        <v>266</v>
      </c>
      <c r="R27" s="1016"/>
    </row>
    <row r="28" s="993" customFormat="1" ht="26" spans="1:18">
      <c r="A28" s="1010"/>
      <c r="B28" s="1011"/>
      <c r="C28" s="1010" t="s">
        <v>273</v>
      </c>
      <c r="D28" s="1011" t="s">
        <v>358</v>
      </c>
      <c r="E28" s="1012" t="s">
        <v>282</v>
      </c>
      <c r="F28" s="1035" t="s">
        <v>272</v>
      </c>
      <c r="G28" s="1033"/>
      <c r="H28" s="1020" t="s">
        <v>193</v>
      </c>
      <c r="I28" s="1019" t="s">
        <v>272</v>
      </c>
      <c r="J28" s="1019" t="s">
        <v>266</v>
      </c>
      <c r="K28" s="1019" t="s">
        <v>272</v>
      </c>
      <c r="L28" s="1032" t="s">
        <v>272</v>
      </c>
      <c r="M28" s="1019" t="s">
        <v>266</v>
      </c>
      <c r="N28" s="1019" t="s">
        <v>266</v>
      </c>
      <c r="O28" s="1032" t="s">
        <v>272</v>
      </c>
      <c r="P28" s="1015" t="s">
        <v>266</v>
      </c>
      <c r="Q28" s="1019" t="s">
        <v>266</v>
      </c>
      <c r="R28" s="1016"/>
    </row>
    <row r="29" s="992" customFormat="1" ht="26" spans="1:18">
      <c r="A29" s="1010" t="s">
        <v>359</v>
      </c>
      <c r="B29" s="1011" t="s">
        <v>360</v>
      </c>
      <c r="C29" s="1010" t="s">
        <v>193</v>
      </c>
      <c r="D29" s="1010" t="s">
        <v>193</v>
      </c>
      <c r="E29" s="1012" t="s">
        <v>282</v>
      </c>
      <c r="F29" s="720" t="s">
        <v>266</v>
      </c>
      <c r="G29" s="1033" t="s">
        <v>416</v>
      </c>
      <c r="H29" s="1020" t="s">
        <v>193</v>
      </c>
      <c r="I29" s="729" t="s">
        <v>272</v>
      </c>
      <c r="J29" s="720" t="s">
        <v>266</v>
      </c>
      <c r="K29" s="729" t="s">
        <v>272</v>
      </c>
      <c r="L29" s="729" t="s">
        <v>272</v>
      </c>
      <c r="M29" s="720" t="s">
        <v>266</v>
      </c>
      <c r="N29" s="729" t="s">
        <v>272</v>
      </c>
      <c r="O29" s="729" t="s">
        <v>272</v>
      </c>
      <c r="P29" s="1015" t="s">
        <v>272</v>
      </c>
      <c r="Q29" s="720" t="s">
        <v>266</v>
      </c>
      <c r="R29" s="1016"/>
    </row>
    <row r="30" s="992" customFormat="1" ht="95" customHeight="1" spans="1:18">
      <c r="A30" s="1010" t="s">
        <v>364</v>
      </c>
      <c r="B30" s="1011" t="s">
        <v>365</v>
      </c>
      <c r="C30" s="1010" t="s">
        <v>193</v>
      </c>
      <c r="D30" s="1010" t="s">
        <v>193</v>
      </c>
      <c r="E30" s="1012" t="s">
        <v>265</v>
      </c>
      <c r="F30" s="720" t="s">
        <v>266</v>
      </c>
      <c r="G30" s="1013" t="s">
        <v>417</v>
      </c>
      <c r="H30" s="1020" t="s">
        <v>193</v>
      </c>
      <c r="I30" s="729" t="s">
        <v>272</v>
      </c>
      <c r="J30" s="720" t="s">
        <v>266</v>
      </c>
      <c r="K30" s="729" t="s">
        <v>272</v>
      </c>
      <c r="L30" s="729" t="s">
        <v>272</v>
      </c>
      <c r="M30" s="720" t="s">
        <v>266</v>
      </c>
      <c r="N30" s="729" t="s">
        <v>272</v>
      </c>
      <c r="O30" s="729" t="s">
        <v>272</v>
      </c>
      <c r="P30" s="1015" t="s">
        <v>272</v>
      </c>
      <c r="Q30" s="720" t="s">
        <v>266</v>
      </c>
      <c r="R30" s="1014"/>
    </row>
    <row r="31" s="992" customFormat="1" ht="29" spans="1:18">
      <c r="A31" s="1010" t="s">
        <v>367</v>
      </c>
      <c r="B31" s="1011" t="s">
        <v>368</v>
      </c>
      <c r="C31" s="1010" t="s">
        <v>193</v>
      </c>
      <c r="D31" s="1010" t="s">
        <v>193</v>
      </c>
      <c r="E31" s="1012" t="s">
        <v>265</v>
      </c>
      <c r="F31" s="720" t="s">
        <v>266</v>
      </c>
      <c r="G31" s="1013" t="s">
        <v>418</v>
      </c>
      <c r="H31" s="1020" t="s">
        <v>193</v>
      </c>
      <c r="I31" s="729" t="s">
        <v>272</v>
      </c>
      <c r="J31" s="720" t="s">
        <v>266</v>
      </c>
      <c r="K31" s="729" t="s">
        <v>272</v>
      </c>
      <c r="L31" s="729" t="s">
        <v>272</v>
      </c>
      <c r="M31" s="720" t="s">
        <v>266</v>
      </c>
      <c r="N31" s="729" t="s">
        <v>272</v>
      </c>
      <c r="O31" s="729" t="s">
        <v>272</v>
      </c>
      <c r="P31" s="1015" t="s">
        <v>272</v>
      </c>
      <c r="Q31" s="720" t="s">
        <v>266</v>
      </c>
      <c r="R31" s="1014"/>
    </row>
    <row r="32" spans="1:18">
      <c r="A32" s="996" t="s">
        <v>237</v>
      </c>
    </row>
    <row r="38" spans="1:7">
      <c r="A38" s="989" t="s">
        <v>377</v>
      </c>
      <c r="B38" s="989" t="s">
        <v>378</v>
      </c>
      <c r="C38" s="989" t="s">
        <v>379</v>
      </c>
      <c r="D38" s="989" t="s">
        <v>380</v>
      </c>
      <c r="E38" s="989" t="s">
        <v>381</v>
      </c>
      <c r="F38" s="989" t="s">
        <v>382</v>
      </c>
      <c r="G38" s="989" t="s">
        <v>383</v>
      </c>
    </row>
    <row r="39" spans="1:7">
      <c r="A39" s="989" t="s">
        <v>384</v>
      </c>
      <c r="B39" s="989" t="s">
        <v>385</v>
      </c>
      <c r="C39" s="989"/>
      <c r="D39" s="989" t="s">
        <v>386</v>
      </c>
      <c r="E39" s="989"/>
      <c r="F39" s="989" t="s">
        <v>9</v>
      </c>
      <c r="G39" s="989"/>
    </row>
    <row r="40" spans="1:7">
      <c r="A40" s="989" t="s">
        <v>387</v>
      </c>
      <c r="B40" s="989" t="s">
        <v>388</v>
      </c>
      <c r="C40" s="989"/>
      <c r="D40" s="989"/>
      <c r="E40" s="989"/>
      <c r="F40" s="989" t="s">
        <v>9</v>
      </c>
      <c r="G40" s="989"/>
    </row>
    <row r="41" spans="1:7">
      <c r="A41" s="989" t="s">
        <v>231</v>
      </c>
      <c r="B41" s="989" t="s">
        <v>389</v>
      </c>
      <c r="C41" s="989"/>
      <c r="D41" s="989"/>
      <c r="E41" s="989"/>
      <c r="F41" s="989" t="s">
        <v>9</v>
      </c>
      <c r="G41" s="989"/>
    </row>
    <row r="42" spans="1:7">
      <c r="A42" s="989" t="s">
        <v>390</v>
      </c>
      <c r="B42" s="989" t="s">
        <v>391</v>
      </c>
      <c r="C42" s="989"/>
      <c r="D42" s="989"/>
      <c r="E42" s="989"/>
      <c r="F42" s="989" t="s">
        <v>9</v>
      </c>
      <c r="G42" s="989"/>
    </row>
    <row r="43" spans="1:7">
      <c r="A43" s="989" t="s">
        <v>392</v>
      </c>
      <c r="B43" s="989" t="s">
        <v>393</v>
      </c>
      <c r="C43" s="989"/>
      <c r="D43" s="989"/>
      <c r="E43" s="989"/>
      <c r="F43" s="989" t="s">
        <v>9</v>
      </c>
      <c r="G43" s="989"/>
    </row>
    <row r="44" spans="1:7">
      <c r="A44" s="989" t="s">
        <v>394</v>
      </c>
      <c r="B44" s="989" t="s">
        <v>395</v>
      </c>
      <c r="C44" s="989"/>
      <c r="D44" s="989"/>
      <c r="E44" s="989"/>
      <c r="F44" s="989" t="s">
        <v>9</v>
      </c>
      <c r="G44" s="989"/>
    </row>
    <row r="45" spans="1:7">
      <c r="A45" s="989"/>
      <c r="B45" s="989"/>
      <c r="C45" s="989"/>
      <c r="D45" s="989"/>
      <c r="E45" s="989"/>
      <c r="F45" s="989"/>
      <c r="G45" s="989"/>
    </row>
    <row r="46" spans="1:7">
      <c r="A46" s="989"/>
      <c r="B46" s="989"/>
      <c r="C46" s="989"/>
      <c r="D46" s="989"/>
      <c r="E46" s="989"/>
      <c r="F46" s="989"/>
      <c r="G46" s="989"/>
    </row>
    <row r="47" spans="1:7">
      <c r="A47" s="989"/>
      <c r="B47" s="989"/>
      <c r="C47" s="989"/>
      <c r="D47" s="989"/>
      <c r="E47" s="989"/>
      <c r="F47" s="989"/>
      <c r="G47" s="989"/>
    </row>
    <row r="48" spans="1:7">
      <c r="A48" s="989"/>
      <c r="B48" s="989"/>
      <c r="C48" s="989"/>
      <c r="D48" s="989"/>
      <c r="E48" s="989"/>
      <c r="F48" s="989"/>
      <c r="G48" s="989"/>
    </row>
    <row r="49" spans="1:7">
      <c r="A49" s="989"/>
      <c r="B49" s="989"/>
      <c r="C49" s="989"/>
      <c r="D49" s="989"/>
      <c r="E49" s="989"/>
      <c r="F49" s="989"/>
      <c r="G49" s="989"/>
    </row>
  </sheetData>
  <mergeCells count="24">
    <mergeCell ref="A4:R4"/>
    <mergeCell ref="A5:F5"/>
    <mergeCell ref="J5:K5"/>
    <mergeCell ref="L5:N5"/>
    <mergeCell ref="O5:Q5"/>
    <mergeCell ref="A7:A9"/>
    <mergeCell ref="A10:A12"/>
    <mergeCell ref="A13:A16"/>
    <mergeCell ref="A17:A20"/>
    <mergeCell ref="A21:A22"/>
    <mergeCell ref="A26:A28"/>
    <mergeCell ref="B7:B9"/>
    <mergeCell ref="B10:B12"/>
    <mergeCell ref="B13:B16"/>
    <mergeCell ref="B17:B20"/>
    <mergeCell ref="B21:B22"/>
    <mergeCell ref="B26:B28"/>
    <mergeCell ref="G10:G12"/>
    <mergeCell ref="G17:G20"/>
    <mergeCell ref="G21:G22"/>
    <mergeCell ref="G26:G28"/>
    <mergeCell ref="R1:R3"/>
    <mergeCell ref="N1:Q3"/>
    <mergeCell ref="A1:F3"/>
  </mergeCells>
  <conditionalFormatting sqref="E29:E31">
    <cfRule type="expression" dxfId="3" priority="1" stopIfTrue="1">
      <formula>IF(E29="No",TRUE,Flase)</formula>
    </cfRule>
  </conditionalFormatting>
  <conditionalFormatting sqref="C13:E23 E24:E25 C26:E28">
    <cfRule type="expression" dxfId="3" priority="3" stopIfTrue="1">
      <formula>IF(C13="No",TRUE,Flase)</formula>
    </cfRule>
  </conditionalFormatting>
  <dataValidations count="2">
    <dataValidation type="list" allowBlank="1" showInputMessage="1" showErrorMessage="1" sqref="E7:E31">
      <formula1>"M,U"</formula1>
    </dataValidation>
    <dataValidation type="list" allowBlank="1" showInputMessage="1" showErrorMessage="1" sqref="F7:F37 F50:F1048576 R1:R3 I7:Q31">
      <formula1>"Y,N"</formula1>
    </dataValidation>
  </dataValidations>
  <pageMargins left="0.7" right="0.7" top="0.75" bottom="0.75" header="0.3" footer="0.3"/>
  <pageSetup paperSize="9" scale="2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zoomScale="85" zoomScaleNormal="85" workbookViewId="0">
      <selection activeCell="M10" sqref="M10"/>
    </sheetView>
  </sheetViews>
  <sheetFormatPr defaultColWidth="8.72727272727273" defaultRowHeight="14"/>
  <cols>
    <col min="1" max="1" width="29.0909090909091" style="954" customWidth="1"/>
    <col min="2" max="2" width="24.4545454545455" style="954" customWidth="1"/>
    <col min="3" max="3" width="28.7272727272727" style="954" customWidth="1"/>
    <col min="4" max="4" width="22.3636363636364" style="954" customWidth="1"/>
    <col min="5" max="5" width="25.9090909090909" style="954" customWidth="1"/>
    <col min="6" max="6" width="29.9090909090909" style="954" customWidth="1"/>
    <col min="7" max="7" width="13.0909090909091" style="954" customWidth="1"/>
    <col min="8" max="16384" width="8.72727272727273" style="954"/>
  </cols>
  <sheetData>
    <row r="1" s="948" customFormat="1" ht="16.4" customHeight="1" spans="1:26">
      <c r="A1" s="955" t="s">
        <v>419</v>
      </c>
      <c r="B1" s="955"/>
      <c r="C1" s="955"/>
      <c r="D1" s="955"/>
      <c r="E1" s="955"/>
      <c r="F1" s="955"/>
      <c r="G1" s="955"/>
    </row>
    <row r="2" s="948" customFormat="1" ht="17.25" customHeight="1" spans="1:26">
      <c r="A2" s="956" t="s">
        <v>420</v>
      </c>
      <c r="B2" s="955"/>
      <c r="C2" s="955"/>
      <c r="D2" s="955"/>
      <c r="E2" s="955"/>
      <c r="F2" s="955"/>
      <c r="G2" s="955"/>
      <c r="H2" s="957"/>
      <c r="I2" s="957"/>
      <c r="J2" s="957"/>
      <c r="K2" s="958"/>
      <c r="L2" s="952"/>
      <c r="M2" s="952"/>
      <c r="N2" s="952"/>
      <c r="O2" s="952"/>
      <c r="P2" s="952"/>
      <c r="Q2" s="952"/>
    </row>
    <row r="3" s="949" customFormat="1" ht="23.25" spans="1:26">
      <c r="A3" s="959"/>
      <c r="B3" s="959"/>
      <c r="C3" s="959"/>
      <c r="D3" s="959"/>
      <c r="E3" s="959"/>
      <c r="F3" s="959"/>
      <c r="G3" s="960"/>
      <c r="H3" s="957"/>
      <c r="I3" s="957"/>
      <c r="J3" s="957"/>
      <c r="K3" s="958"/>
      <c r="L3" s="952"/>
      <c r="M3" s="952"/>
      <c r="N3" s="952"/>
      <c r="O3" s="952"/>
      <c r="P3" s="952"/>
      <c r="Q3" s="952"/>
    </row>
    <row r="4" s="950" customFormat="1" ht="38.15" customHeight="1" spans="1:26">
      <c r="A4" s="961" t="s">
        <v>421</v>
      </c>
      <c r="B4" s="962" t="s">
        <v>422</v>
      </c>
      <c r="C4" s="963" t="s">
        <v>423</v>
      </c>
      <c r="D4" s="964" t="s">
        <v>424</v>
      </c>
      <c r="E4" s="965"/>
      <c r="F4" s="966"/>
      <c r="G4" s="967" t="s">
        <v>425</v>
      </c>
      <c r="H4" s="957"/>
      <c r="I4" s="957"/>
      <c r="J4" s="957"/>
      <c r="K4" s="958"/>
      <c r="L4" s="952"/>
      <c r="M4" s="952"/>
      <c r="N4" s="952"/>
      <c r="O4" s="952"/>
      <c r="P4" s="952"/>
      <c r="Q4" s="952"/>
      <c r="R4" s="968"/>
      <c r="S4" s="968"/>
      <c r="T4" s="968"/>
      <c r="U4" s="968"/>
      <c r="V4" s="968"/>
      <c r="W4" s="968"/>
      <c r="X4" s="968"/>
      <c r="Y4" s="968"/>
      <c r="Z4" s="968"/>
    </row>
    <row r="5" s="950" customFormat="1" ht="39.75" spans="1:26">
      <c r="A5" s="969"/>
      <c r="B5" s="970"/>
      <c r="C5" s="971"/>
      <c r="D5" s="972" t="s">
        <v>426</v>
      </c>
      <c r="E5" s="972" t="s">
        <v>427</v>
      </c>
      <c r="F5" s="972" t="s">
        <v>428</v>
      </c>
      <c r="G5" s="973"/>
      <c r="H5" s="957"/>
      <c r="I5" s="957"/>
      <c r="J5" s="957"/>
      <c r="K5" s="958"/>
      <c r="L5" s="952"/>
      <c r="M5" s="952"/>
      <c r="N5" s="952"/>
      <c r="O5" s="952"/>
      <c r="P5" s="952"/>
      <c r="Q5" s="952"/>
      <c r="R5" s="968"/>
      <c r="S5" s="968"/>
      <c r="T5" s="968"/>
      <c r="U5" s="968"/>
      <c r="V5" s="968"/>
      <c r="W5" s="968"/>
      <c r="X5" s="968"/>
      <c r="Y5" s="968"/>
      <c r="Z5" s="968"/>
    </row>
    <row r="6" s="951" customFormat="1" ht="25.5" spans="1:26">
      <c r="A6" s="974" t="s">
        <v>295</v>
      </c>
      <c r="B6" s="975" t="s">
        <v>429</v>
      </c>
      <c r="C6" s="976" t="s">
        <v>430</v>
      </c>
      <c r="D6" s="977" t="s">
        <v>266</v>
      </c>
      <c r="E6" s="977" t="s">
        <v>266</v>
      </c>
      <c r="F6" s="977" t="s">
        <v>266</v>
      </c>
      <c r="G6" s="978"/>
      <c r="H6" s="957"/>
      <c r="I6" s="957"/>
      <c r="J6" s="957"/>
      <c r="K6" s="958"/>
      <c r="L6" s="952"/>
      <c r="M6" s="952"/>
      <c r="N6" s="952"/>
      <c r="O6" s="952"/>
      <c r="P6" s="952"/>
      <c r="Q6" s="952"/>
      <c r="R6" s="968"/>
      <c r="S6" s="968"/>
      <c r="T6" s="968"/>
      <c r="U6" s="968"/>
      <c r="V6" s="968"/>
      <c r="W6" s="968"/>
      <c r="X6" s="968"/>
      <c r="Y6" s="968"/>
      <c r="Z6" s="968"/>
    </row>
    <row r="7" s="951" customFormat="1" ht="25.5" spans="1:26">
      <c r="A7" s="974"/>
      <c r="B7" s="979"/>
      <c r="C7" s="980" t="s">
        <v>431</v>
      </c>
      <c r="D7" s="981" t="s">
        <v>272</v>
      </c>
      <c r="E7" s="981" t="s">
        <v>272</v>
      </c>
      <c r="F7" s="981" t="s">
        <v>272</v>
      </c>
      <c r="G7" s="982"/>
      <c r="H7" s="957"/>
      <c r="I7" s="957"/>
      <c r="J7" s="957"/>
      <c r="K7" s="958"/>
      <c r="L7" s="952"/>
      <c r="M7" s="952"/>
      <c r="N7" s="952"/>
      <c r="O7" s="952"/>
      <c r="P7" s="952"/>
      <c r="Q7" s="952"/>
      <c r="R7" s="968"/>
      <c r="S7" s="968"/>
      <c r="T7" s="968"/>
      <c r="U7" s="968"/>
      <c r="V7" s="968"/>
      <c r="W7" s="968"/>
      <c r="X7" s="968"/>
      <c r="Y7" s="968"/>
      <c r="Z7" s="968"/>
    </row>
    <row r="8" s="951" customFormat="1" ht="25.5" spans="1:26">
      <c r="A8" s="974"/>
      <c r="B8" s="979"/>
      <c r="C8" s="980" t="s">
        <v>432</v>
      </c>
      <c r="D8" s="981" t="s">
        <v>272</v>
      </c>
      <c r="E8" s="981" t="s">
        <v>272</v>
      </c>
      <c r="F8" s="981" t="s">
        <v>272</v>
      </c>
      <c r="G8" s="982"/>
      <c r="H8" s="957"/>
      <c r="I8" s="957"/>
      <c r="J8" s="957"/>
      <c r="K8" s="958"/>
      <c r="L8" s="952"/>
      <c r="M8" s="952"/>
      <c r="N8" s="952"/>
      <c r="O8" s="952"/>
      <c r="P8" s="952"/>
      <c r="Q8" s="952"/>
      <c r="R8" s="968"/>
      <c r="S8" s="968"/>
      <c r="T8" s="968"/>
      <c r="U8" s="968"/>
      <c r="V8" s="968"/>
      <c r="W8" s="968"/>
      <c r="X8" s="968"/>
      <c r="Y8" s="968"/>
      <c r="Z8" s="968"/>
    </row>
    <row r="9" s="951" customFormat="1" ht="26.25" spans="1:26">
      <c r="A9" s="974"/>
      <c r="B9" s="979"/>
      <c r="C9" s="983" t="s">
        <v>433</v>
      </c>
      <c r="D9" s="984" t="s">
        <v>266</v>
      </c>
      <c r="E9" s="977" t="s">
        <v>266</v>
      </c>
      <c r="F9" s="977" t="s">
        <v>266</v>
      </c>
      <c r="G9" s="985"/>
      <c r="H9" s="957"/>
      <c r="I9" s="957"/>
      <c r="J9" s="957"/>
      <c r="K9" s="958"/>
      <c r="L9" s="952"/>
      <c r="M9" s="952"/>
      <c r="N9" s="952"/>
      <c r="O9" s="952"/>
      <c r="P9" s="952"/>
      <c r="Q9" s="952"/>
      <c r="R9" s="968"/>
      <c r="S9" s="968"/>
      <c r="T9" s="968"/>
      <c r="U9" s="968"/>
      <c r="V9" s="968"/>
      <c r="W9" s="968"/>
      <c r="X9" s="968"/>
      <c r="Y9" s="968"/>
      <c r="Z9" s="968"/>
    </row>
    <row r="10" s="952" customFormat="1" ht="67.4" customHeight="1" spans="1:26">
      <c r="A10" s="986" t="s">
        <v>434</v>
      </c>
      <c r="B10" s="987"/>
      <c r="C10" s="987"/>
      <c r="D10" s="987"/>
      <c r="E10" s="987"/>
      <c r="F10" s="987"/>
      <c r="G10" s="988"/>
      <c r="H10" s="957"/>
      <c r="I10" s="957"/>
      <c r="J10" s="957"/>
      <c r="K10" s="958"/>
    </row>
    <row r="11" s="953" customFormat="1" ht="9.5"/>
    <row r="16" spans="1:26">
      <c r="A16" s="989" t="s">
        <v>377</v>
      </c>
      <c r="B16" s="989" t="s">
        <v>378</v>
      </c>
      <c r="C16" s="989" t="s">
        <v>379</v>
      </c>
      <c r="D16" s="989" t="s">
        <v>380</v>
      </c>
      <c r="E16" s="989" t="s">
        <v>381</v>
      </c>
      <c r="F16" s="989" t="s">
        <v>382</v>
      </c>
      <c r="G16" s="989" t="s">
        <v>383</v>
      </c>
    </row>
    <row r="17" spans="1:7">
      <c r="A17" s="989" t="s">
        <v>384</v>
      </c>
      <c r="B17" s="989" t="s">
        <v>385</v>
      </c>
      <c r="C17" s="989"/>
      <c r="D17" s="989" t="s">
        <v>386</v>
      </c>
      <c r="E17" s="989"/>
      <c r="F17" s="989" t="s">
        <v>9</v>
      </c>
      <c r="G17" s="989"/>
    </row>
    <row r="18" spans="1:7">
      <c r="A18" s="989" t="s">
        <v>387</v>
      </c>
      <c r="B18" s="989" t="s">
        <v>435</v>
      </c>
      <c r="C18" s="989"/>
      <c r="D18" s="989"/>
      <c r="E18" s="989"/>
      <c r="F18" s="989" t="s">
        <v>9</v>
      </c>
      <c r="G18" s="989"/>
    </row>
  </sheetData>
  <mergeCells count="11">
    <mergeCell ref="A1:F1"/>
    <mergeCell ref="A2:F2"/>
    <mergeCell ref="A3:F3"/>
    <mergeCell ref="D4:F4"/>
    <mergeCell ref="A10:G10"/>
    <mergeCell ref="A4:A5"/>
    <mergeCell ref="A6:A9"/>
    <mergeCell ref="B4:B5"/>
    <mergeCell ref="B6:B9"/>
    <mergeCell ref="C4:C5"/>
    <mergeCell ref="G4:G5"/>
  </mergeCells>
  <conditionalFormatting sqref="C6:G11">
    <cfRule type="cellIs" dxfId="4" priority="1" stopIfTrue="1" operator="equal">
      <formula>"-"</formula>
    </cfRule>
    <cfRule type="cellIs" dxfId="5" priority="2" stopIfTrue="1" operator="equal">
      <formula>"tbd"</formula>
    </cfRule>
  </conditionalFormatting>
  <dataValidations count="1">
    <dataValidation type="list" allowBlank="1" showInputMessage="1" showErrorMessage="1" sqref="D6:F9">
      <formula1>"Y,N,TBD"</formula1>
    </dataValidation>
  </dataValidation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P66"/>
  <sheetViews>
    <sheetView zoomScaleSheetLayoutView="85" workbookViewId="0">
      <pane xSplit="5" ySplit="6" topLeftCell="F7" activePane="bottomRight" state="frozen"/>
      <selection/>
      <selection pane="topRight"/>
      <selection pane="bottomLeft"/>
      <selection pane="bottomRight" activeCell="B30" sqref="B30:B33"/>
    </sheetView>
  </sheetViews>
  <sheetFormatPr defaultColWidth="9" defaultRowHeight="13"/>
  <cols>
    <col min="1" max="1" width="5.45454545454545" style="696" customWidth="1"/>
    <col min="2" max="2" width="8.09090909090909" style="696" customWidth="1"/>
    <col min="3" max="3" width="31.4545454545455" style="696" customWidth="1"/>
    <col min="4" max="4" width="31.6363636363636" style="696" customWidth="1"/>
    <col min="5" max="5" width="9.45454545454546" style="696" customWidth="1"/>
    <col min="6" max="6" width="15.0909090909091" style="696" customWidth="1"/>
    <col min="7" max="7" width="9.45454545454546" style="696" customWidth="1"/>
    <col min="8" max="8" width="7" style="696" customWidth="1"/>
    <col min="9" max="9" width="6.63636363636364" style="696" customWidth="1"/>
    <col min="10" max="10" width="6.45454545454545" style="696" customWidth="1"/>
    <col min="11" max="11" width="31.3636363636364" style="696" customWidth="1"/>
    <col min="12" max="12" width="33" style="696" customWidth="1"/>
    <col min="13" max="13" width="14.4545454545455" style="696" customWidth="1"/>
    <col min="14" max="14" width="14.9090909090909" style="696" customWidth="1"/>
    <col min="15" max="15" width="11.6363636363636" style="696" customWidth="1"/>
    <col min="16" max="16" width="33.4545454545455" style="696" customWidth="1"/>
    <col min="17" max="17" width="27.0909090909091" style="696" customWidth="1"/>
    <col min="18" max="18" width="16.7272727272727" style="696" customWidth="1"/>
    <col min="19" max="19" width="10.3636363636364" style="696" customWidth="1"/>
    <col min="20" max="20" width="10.0909090909091" style="696" customWidth="1"/>
    <col min="21" max="21" width="9" style="696" customWidth="1"/>
    <col min="22" max="22" width="9" style="697" customWidth="1"/>
    <col min="23" max="26" width="8.45454545454546" style="696" customWidth="1"/>
    <col min="27" max="28" width="7" style="696" customWidth="1"/>
    <col min="29" max="29" width="8.72727272727273" style="696" customWidth="1"/>
    <col min="30" max="35" width="8.45454545454546" style="696" customWidth="1"/>
    <col min="36" max="37" width="7" style="696" customWidth="1"/>
    <col min="38" max="38" width="8.72727272727273" style="696" customWidth="1"/>
    <col min="39" max="39" width="9.72727272727273" style="696" customWidth="1"/>
    <col min="40" max="40" width="9.36363636363636" style="696" customWidth="1"/>
    <col min="41" max="41" width="36.0909090909091" style="696" customWidth="1"/>
    <col min="42" max="42" width="38.7272727272727" style="696" customWidth="1"/>
    <col min="43" max="16384" width="9" style="696"/>
  </cols>
  <sheetData>
    <row r="1" s="690" customFormat="1" ht="15.65" customHeight="1" spans="1:42">
      <c r="A1" s="698" t="s">
        <v>436</v>
      </c>
      <c r="B1" s="698"/>
      <c r="C1" s="698"/>
      <c r="D1" s="698"/>
      <c r="E1" s="698"/>
      <c r="F1" s="698"/>
      <c r="G1" s="699"/>
      <c r="H1" s="699"/>
      <c r="I1" s="699"/>
      <c r="J1" s="699"/>
      <c r="K1" s="699"/>
      <c r="L1" s="699"/>
      <c r="M1" s="699"/>
      <c r="N1" s="699"/>
      <c r="O1" s="699"/>
      <c r="P1" s="699"/>
      <c r="Q1" s="699"/>
      <c r="R1" s="699"/>
      <c r="S1" s="699"/>
      <c r="T1" s="699"/>
      <c r="U1" s="699"/>
      <c r="V1" s="700"/>
      <c r="W1" s="699"/>
      <c r="X1" s="699"/>
      <c r="Y1" s="699"/>
      <c r="Z1" s="699"/>
      <c r="AA1" s="699"/>
      <c r="AB1" s="699"/>
      <c r="AC1" s="699"/>
      <c r="AD1" s="699"/>
      <c r="AE1" s="699"/>
      <c r="AF1" s="699"/>
      <c r="AG1" s="699"/>
      <c r="AH1" s="699"/>
      <c r="AI1" s="699"/>
      <c r="AJ1" s="699"/>
      <c r="AK1" s="699"/>
      <c r="AL1" s="699"/>
      <c r="AM1" s="699"/>
      <c r="AN1" s="699"/>
      <c r="AO1" s="699"/>
    </row>
    <row r="2" s="690" customFormat="1" ht="14.5" spans="1:42">
      <c r="A2" s="698"/>
      <c r="B2" s="698"/>
      <c r="C2" s="698"/>
      <c r="D2" s="698"/>
      <c r="E2" s="698"/>
      <c r="F2" s="698"/>
      <c r="G2" s="699"/>
      <c r="H2" s="699"/>
      <c r="I2" s="699"/>
      <c r="J2" s="699"/>
      <c r="K2" s="699"/>
      <c r="L2" s="699"/>
      <c r="M2" s="699"/>
      <c r="N2" s="699"/>
      <c r="O2" s="699"/>
      <c r="P2" s="699"/>
      <c r="Q2" s="699"/>
      <c r="R2" s="699"/>
      <c r="S2" s="699"/>
      <c r="T2" s="699"/>
      <c r="U2" s="699"/>
      <c r="V2" s="700"/>
      <c r="W2" s="699"/>
      <c r="X2" s="699"/>
      <c r="Y2" s="699"/>
      <c r="Z2" s="699"/>
      <c r="AA2" s="699"/>
      <c r="AB2" s="699"/>
      <c r="AC2" s="699"/>
      <c r="AD2" s="699"/>
      <c r="AE2" s="699"/>
      <c r="AF2" s="699"/>
      <c r="AG2" s="699"/>
      <c r="AH2" s="699"/>
      <c r="AI2" s="699"/>
      <c r="AJ2" s="699"/>
      <c r="AK2" s="699"/>
      <c r="AL2" s="699"/>
      <c r="AM2" s="699"/>
      <c r="AN2" s="699"/>
      <c r="AO2" s="699"/>
    </row>
    <row r="3" s="690" customFormat="1" ht="14.5" spans="1:42">
      <c r="A3" s="701"/>
      <c r="B3" s="701"/>
      <c r="C3" s="701"/>
      <c r="D3" s="701"/>
      <c r="E3" s="701"/>
      <c r="F3" s="698"/>
      <c r="G3" s="699"/>
      <c r="H3" s="699"/>
      <c r="I3" s="699"/>
      <c r="J3" s="699"/>
      <c r="K3" s="699"/>
      <c r="L3" s="699"/>
      <c r="M3" s="699"/>
      <c r="N3" s="699"/>
      <c r="O3" s="699"/>
      <c r="P3" s="699"/>
      <c r="Q3" s="699"/>
      <c r="R3" s="699"/>
      <c r="S3" s="699"/>
      <c r="T3" s="699"/>
      <c r="U3" s="699"/>
      <c r="V3" s="700"/>
      <c r="W3" s="699"/>
      <c r="X3" s="699"/>
      <c r="Y3" s="699"/>
      <c r="Z3" s="699"/>
      <c r="AA3" s="699"/>
      <c r="AB3" s="699"/>
      <c r="AC3" s="699"/>
      <c r="AD3" s="699"/>
      <c r="AE3" s="699"/>
      <c r="AF3" s="699"/>
      <c r="AG3" s="699"/>
      <c r="AH3" s="699"/>
      <c r="AI3" s="699"/>
      <c r="AJ3" s="699"/>
      <c r="AK3" s="699"/>
      <c r="AL3" s="699"/>
      <c r="AM3" s="699"/>
      <c r="AN3" s="699"/>
      <c r="AO3" s="699"/>
    </row>
    <row r="4" s="690" customFormat="1" ht="26.15" customHeight="1" spans="1:42">
      <c r="A4" s="396" t="s">
        <v>437</v>
      </c>
      <c r="B4" s="396" t="s">
        <v>438</v>
      </c>
      <c r="C4" s="396" t="s">
        <v>439</v>
      </c>
      <c r="D4" s="398" t="s">
        <v>440</v>
      </c>
      <c r="E4" s="396" t="s">
        <v>251</v>
      </c>
      <c r="F4" s="702" t="s">
        <v>252</v>
      </c>
      <c r="G4" s="702" t="s">
        <v>441</v>
      </c>
      <c r="H4" s="702" t="s">
        <v>442</v>
      </c>
      <c r="I4" s="593" t="s">
        <v>443</v>
      </c>
      <c r="J4" s="593" t="s">
        <v>444</v>
      </c>
      <c r="K4" s="593" t="s">
        <v>445</v>
      </c>
      <c r="L4" s="594" t="s">
        <v>446</v>
      </c>
      <c r="M4" s="554" t="s">
        <v>447</v>
      </c>
      <c r="N4" s="554" t="s">
        <v>448</v>
      </c>
      <c r="O4" s="554" t="s">
        <v>449</v>
      </c>
      <c r="P4" s="554" t="s">
        <v>450</v>
      </c>
      <c r="Q4" s="595" t="s">
        <v>451</v>
      </c>
      <c r="R4" s="554" t="s">
        <v>452</v>
      </c>
      <c r="S4" s="593" t="s">
        <v>453</v>
      </c>
      <c r="T4" s="395" t="s">
        <v>454</v>
      </c>
      <c r="U4" s="596" t="s">
        <v>455</v>
      </c>
      <c r="V4" s="597"/>
      <c r="W4" s="597"/>
      <c r="X4" s="597"/>
      <c r="Y4" s="597"/>
      <c r="Z4" s="597"/>
      <c r="AA4" s="597"/>
      <c r="AB4" s="597"/>
      <c r="AC4" s="597"/>
      <c r="AD4" s="596" t="s">
        <v>456</v>
      </c>
      <c r="AE4" s="597"/>
      <c r="AF4" s="597"/>
      <c r="AG4" s="597"/>
      <c r="AH4" s="597"/>
      <c r="AI4" s="597"/>
      <c r="AJ4" s="597"/>
      <c r="AK4" s="597"/>
      <c r="AL4" s="597"/>
      <c r="AM4" s="401" t="s">
        <v>457</v>
      </c>
      <c r="AN4" s="401" t="s">
        <v>458</v>
      </c>
      <c r="AO4" s="396" t="s">
        <v>459</v>
      </c>
    </row>
    <row r="5" s="691" customFormat="1" ht="27" customHeight="1" spans="1:42">
      <c r="A5" s="396"/>
      <c r="B5" s="396"/>
      <c r="C5" s="396"/>
      <c r="D5" s="398"/>
      <c r="E5" s="396"/>
      <c r="F5" s="703"/>
      <c r="G5" s="703"/>
      <c r="H5" s="703"/>
      <c r="I5" s="593"/>
      <c r="J5" s="593"/>
      <c r="K5" s="593"/>
      <c r="L5" s="598"/>
      <c r="M5" s="554"/>
      <c r="N5" s="554"/>
      <c r="O5" s="554"/>
      <c r="P5" s="554"/>
      <c r="Q5" s="599"/>
      <c r="R5" s="554"/>
      <c r="S5" s="593"/>
      <c r="T5" s="395"/>
      <c r="U5" s="400" t="s">
        <v>460</v>
      </c>
      <c r="V5" s="400"/>
      <c r="W5" s="400"/>
      <c r="X5" s="400" t="s">
        <v>461</v>
      </c>
      <c r="Y5" s="400"/>
      <c r="Z5" s="400"/>
      <c r="AA5" s="400" t="s">
        <v>462</v>
      </c>
      <c r="AB5" s="400"/>
      <c r="AC5" s="400"/>
      <c r="AD5" s="400" t="s">
        <v>460</v>
      </c>
      <c r="AE5" s="400"/>
      <c r="AF5" s="400"/>
      <c r="AG5" s="400" t="s">
        <v>461</v>
      </c>
      <c r="AH5" s="400"/>
      <c r="AI5" s="400"/>
      <c r="AJ5" s="400" t="s">
        <v>462</v>
      </c>
      <c r="AK5" s="400"/>
      <c r="AL5" s="400"/>
      <c r="AM5" s="401"/>
      <c r="AN5" s="401"/>
      <c r="AO5" s="396"/>
    </row>
    <row r="6" s="691" customFormat="1" ht="28.4" customHeight="1" spans="1:42">
      <c r="A6" s="396"/>
      <c r="B6" s="396"/>
      <c r="C6" s="396"/>
      <c r="D6" s="398"/>
      <c r="E6" s="396"/>
      <c r="F6" s="704"/>
      <c r="G6" s="704"/>
      <c r="H6" s="704"/>
      <c r="I6" s="593"/>
      <c r="J6" s="593"/>
      <c r="K6" s="593"/>
      <c r="L6" s="600"/>
      <c r="M6" s="554"/>
      <c r="N6" s="554"/>
      <c r="O6" s="554"/>
      <c r="P6" s="554"/>
      <c r="Q6" s="601"/>
      <c r="R6" s="554"/>
      <c r="S6" s="593"/>
      <c r="T6" s="395"/>
      <c r="U6" s="404" t="s">
        <v>257</v>
      </c>
      <c r="V6" s="404" t="s">
        <v>398</v>
      </c>
      <c r="W6" s="404" t="s">
        <v>258</v>
      </c>
      <c r="X6" s="404" t="s">
        <v>257</v>
      </c>
      <c r="Y6" s="404" t="s">
        <v>398</v>
      </c>
      <c r="Z6" s="404" t="s">
        <v>258</v>
      </c>
      <c r="AA6" s="404" t="s">
        <v>463</v>
      </c>
      <c r="AB6" s="404" t="s">
        <v>260</v>
      </c>
      <c r="AC6" s="404" t="s">
        <v>399</v>
      </c>
      <c r="AD6" s="404" t="s">
        <v>257</v>
      </c>
      <c r="AE6" s="404" t="s">
        <v>398</v>
      </c>
      <c r="AF6" s="404" t="s">
        <v>258</v>
      </c>
      <c r="AG6" s="404" t="s">
        <v>257</v>
      </c>
      <c r="AH6" s="404" t="s">
        <v>398</v>
      </c>
      <c r="AI6" s="404" t="s">
        <v>258</v>
      </c>
      <c r="AJ6" s="404" t="s">
        <v>463</v>
      </c>
      <c r="AK6" s="404" t="s">
        <v>260</v>
      </c>
      <c r="AL6" s="404" t="s">
        <v>399</v>
      </c>
      <c r="AM6" s="401"/>
      <c r="AN6" s="401"/>
      <c r="AO6" s="396"/>
    </row>
    <row r="7" ht="14.5" spans="1:42">
      <c r="A7" s="705">
        <v>1</v>
      </c>
      <c r="B7" s="706" t="s">
        <v>464</v>
      </c>
      <c r="C7" s="707" t="s">
        <v>465</v>
      </c>
      <c r="D7" s="707" t="s">
        <v>466</v>
      </c>
      <c r="E7" s="707" t="s">
        <v>282</v>
      </c>
      <c r="F7" s="708" t="s">
        <v>272</v>
      </c>
      <c r="G7" s="709" t="s">
        <v>467</v>
      </c>
      <c r="H7" s="710" t="s">
        <v>468</v>
      </c>
      <c r="I7" s="711" t="s">
        <v>469</v>
      </c>
      <c r="J7" s="711" t="s">
        <v>469</v>
      </c>
      <c r="K7" s="707" t="s">
        <v>465</v>
      </c>
      <c r="L7" s="707" t="s">
        <v>466</v>
      </c>
      <c r="M7" s="712" t="s">
        <v>193</v>
      </c>
      <c r="N7" s="712" t="s">
        <v>193</v>
      </c>
      <c r="O7" s="409" t="s">
        <v>470</v>
      </c>
      <c r="P7" s="707" t="s">
        <v>193</v>
      </c>
      <c r="Q7" s="707" t="s">
        <v>193</v>
      </c>
      <c r="R7" s="707" t="s">
        <v>193</v>
      </c>
      <c r="S7" s="713" t="s">
        <v>93</v>
      </c>
      <c r="T7" s="714" t="s">
        <v>471</v>
      </c>
      <c r="U7" s="715" t="s">
        <v>266</v>
      </c>
      <c r="V7" s="716" t="s">
        <v>272</v>
      </c>
      <c r="W7" s="715" t="s">
        <v>266</v>
      </c>
      <c r="X7" s="715" t="s">
        <v>272</v>
      </c>
      <c r="Y7" s="715" t="s">
        <v>272</v>
      </c>
      <c r="Z7" s="715" t="s">
        <v>272</v>
      </c>
      <c r="AA7" s="715" t="s">
        <v>266</v>
      </c>
      <c r="AB7" s="715" t="s">
        <v>272</v>
      </c>
      <c r="AC7" s="715" t="s">
        <v>272</v>
      </c>
      <c r="AD7" s="715" t="s">
        <v>266</v>
      </c>
      <c r="AE7" s="716" t="s">
        <v>272</v>
      </c>
      <c r="AF7" s="715" t="s">
        <v>266</v>
      </c>
      <c r="AG7" s="717" t="s">
        <v>272</v>
      </c>
      <c r="AH7" s="717" t="s">
        <v>272</v>
      </c>
      <c r="AI7" s="717" t="s">
        <v>272</v>
      </c>
      <c r="AJ7" s="717" t="s">
        <v>272</v>
      </c>
      <c r="AK7" s="717" t="s">
        <v>266</v>
      </c>
      <c r="AL7" s="717" t="s">
        <v>272</v>
      </c>
      <c r="AM7" s="717" t="s">
        <v>266</v>
      </c>
      <c r="AN7" s="717" t="s">
        <v>266</v>
      </c>
      <c r="AO7" s="718" t="s">
        <v>472</v>
      </c>
    </row>
    <row r="8" s="692" customFormat="1" ht="52" spans="1:42">
      <c r="A8" s="719">
        <v>2</v>
      </c>
      <c r="B8" s="707" t="s">
        <v>473</v>
      </c>
      <c r="C8" s="707" t="s">
        <v>474</v>
      </c>
      <c r="D8" s="707" t="s">
        <v>475</v>
      </c>
      <c r="E8" s="707" t="s">
        <v>265</v>
      </c>
      <c r="F8" s="720" t="s">
        <v>266</v>
      </c>
      <c r="G8" s="721" t="s">
        <v>476</v>
      </c>
      <c r="H8" s="722">
        <v>10</v>
      </c>
      <c r="I8" s="723" t="s">
        <v>469</v>
      </c>
      <c r="J8" s="723" t="s">
        <v>469</v>
      </c>
      <c r="K8" s="707" t="s">
        <v>474</v>
      </c>
      <c r="L8" s="724" t="s">
        <v>475</v>
      </c>
      <c r="M8" s="712" t="s">
        <v>193</v>
      </c>
      <c r="N8" s="712" t="s">
        <v>193</v>
      </c>
      <c r="O8" s="409" t="s">
        <v>470</v>
      </c>
      <c r="P8" s="725" t="s">
        <v>193</v>
      </c>
      <c r="Q8" s="725" t="s">
        <v>193</v>
      </c>
      <c r="R8" s="726" t="s">
        <v>477</v>
      </c>
      <c r="S8" s="727" t="s">
        <v>91</v>
      </c>
      <c r="T8" s="728" t="s">
        <v>471</v>
      </c>
      <c r="U8" s="720" t="s">
        <v>266</v>
      </c>
      <c r="V8" s="716" t="s">
        <v>272</v>
      </c>
      <c r="W8" s="720" t="s">
        <v>266</v>
      </c>
      <c r="X8" s="720" t="s">
        <v>266</v>
      </c>
      <c r="Y8" s="720" t="s">
        <v>266</v>
      </c>
      <c r="Z8" s="720" t="s">
        <v>266</v>
      </c>
      <c r="AA8" s="720" t="s">
        <v>266</v>
      </c>
      <c r="AB8" s="720" t="s">
        <v>266</v>
      </c>
      <c r="AC8" s="720" t="s">
        <v>266</v>
      </c>
      <c r="AD8" s="729" t="s">
        <v>272</v>
      </c>
      <c r="AE8" s="716" t="s">
        <v>272</v>
      </c>
      <c r="AF8" s="729" t="s">
        <v>272</v>
      </c>
      <c r="AG8" s="729" t="s">
        <v>272</v>
      </c>
      <c r="AH8" s="729" t="s">
        <v>272</v>
      </c>
      <c r="AI8" s="729" t="s">
        <v>272</v>
      </c>
      <c r="AJ8" s="729" t="s">
        <v>272</v>
      </c>
      <c r="AK8" s="729" t="s">
        <v>272</v>
      </c>
      <c r="AL8" s="729" t="s">
        <v>272</v>
      </c>
      <c r="AM8" s="720" t="s">
        <v>266</v>
      </c>
      <c r="AN8" s="720" t="s">
        <v>266</v>
      </c>
      <c r="AO8" s="730" t="s">
        <v>478</v>
      </c>
    </row>
    <row r="9" s="692" customFormat="1" ht="26.5" customHeight="1" spans="1:42">
      <c r="A9" s="731">
        <v>3</v>
      </c>
      <c r="B9" s="731" t="s">
        <v>479</v>
      </c>
      <c r="C9" s="731" t="s">
        <v>480</v>
      </c>
      <c r="D9" s="731" t="s">
        <v>481</v>
      </c>
      <c r="E9" s="731" t="s">
        <v>265</v>
      </c>
      <c r="F9" s="720" t="s">
        <v>266</v>
      </c>
      <c r="G9" s="732" t="s">
        <v>476</v>
      </c>
      <c r="H9" s="733">
        <v>5</v>
      </c>
      <c r="I9" s="723" t="s">
        <v>482</v>
      </c>
      <c r="J9" s="734" t="s">
        <v>483</v>
      </c>
      <c r="K9" s="723" t="s">
        <v>484</v>
      </c>
      <c r="L9" s="409" t="s">
        <v>481</v>
      </c>
      <c r="M9" s="712" t="s">
        <v>193</v>
      </c>
      <c r="N9" s="712" t="s">
        <v>193</v>
      </c>
      <c r="O9" s="409" t="s">
        <v>470</v>
      </c>
      <c r="P9" s="725" t="s">
        <v>193</v>
      </c>
      <c r="Q9" s="725" t="s">
        <v>193</v>
      </c>
      <c r="R9" s="735" t="s">
        <v>485</v>
      </c>
      <c r="S9" s="411" t="s">
        <v>91</v>
      </c>
      <c r="T9" s="736" t="s">
        <v>471</v>
      </c>
      <c r="U9" s="720" t="s">
        <v>266</v>
      </c>
      <c r="V9" s="737" t="s">
        <v>266</v>
      </c>
      <c r="W9" s="720" t="s">
        <v>266</v>
      </c>
      <c r="X9" s="720" t="s">
        <v>266</v>
      </c>
      <c r="Y9" s="720" t="s">
        <v>266</v>
      </c>
      <c r="Z9" s="720" t="s">
        <v>266</v>
      </c>
      <c r="AA9" s="720" t="s">
        <v>266</v>
      </c>
      <c r="AB9" s="720" t="s">
        <v>266</v>
      </c>
      <c r="AC9" s="720" t="s">
        <v>266</v>
      </c>
      <c r="AD9" s="729" t="s">
        <v>272</v>
      </c>
      <c r="AE9" s="737" t="s">
        <v>272</v>
      </c>
      <c r="AF9" s="729" t="s">
        <v>272</v>
      </c>
      <c r="AG9" s="729" t="s">
        <v>272</v>
      </c>
      <c r="AH9" s="729" t="s">
        <v>272</v>
      </c>
      <c r="AI9" s="729" t="s">
        <v>272</v>
      </c>
      <c r="AJ9" s="729" t="s">
        <v>272</v>
      </c>
      <c r="AK9" s="729" t="s">
        <v>272</v>
      </c>
      <c r="AL9" s="729" t="s">
        <v>272</v>
      </c>
      <c r="AM9" s="720" t="s">
        <v>266</v>
      </c>
      <c r="AN9" s="720" t="s">
        <v>266</v>
      </c>
      <c r="AO9" s="738" t="s">
        <v>486</v>
      </c>
    </row>
    <row r="10" s="693" customFormat="1" ht="130.5" spans="1:42">
      <c r="A10" s="739">
        <v>4</v>
      </c>
      <c r="B10" s="739" t="s">
        <v>487</v>
      </c>
      <c r="C10" s="739" t="s">
        <v>488</v>
      </c>
      <c r="D10" s="739" t="s">
        <v>489</v>
      </c>
      <c r="E10" s="740" t="s">
        <v>265</v>
      </c>
      <c r="F10" s="720" t="s">
        <v>266</v>
      </c>
      <c r="G10" s="732" t="s">
        <v>476</v>
      </c>
      <c r="H10" s="741">
        <v>15</v>
      </c>
      <c r="I10" s="723" t="s">
        <v>490</v>
      </c>
      <c r="J10" s="723" t="s">
        <v>491</v>
      </c>
      <c r="K10" s="742" t="s">
        <v>492</v>
      </c>
      <c r="L10" s="409" t="s">
        <v>489</v>
      </c>
      <c r="M10" s="409" t="s">
        <v>193</v>
      </c>
      <c r="N10" s="409" t="s">
        <v>193</v>
      </c>
      <c r="O10" s="409" t="s">
        <v>470</v>
      </c>
      <c r="P10" s="409" t="s">
        <v>193</v>
      </c>
      <c r="Q10" s="409" t="s">
        <v>193</v>
      </c>
      <c r="R10" s="743" t="s">
        <v>493</v>
      </c>
      <c r="S10" s="727" t="s">
        <v>91</v>
      </c>
      <c r="T10" s="744" t="s">
        <v>471</v>
      </c>
      <c r="U10" s="720" t="s">
        <v>266</v>
      </c>
      <c r="V10" s="737" t="s">
        <v>266</v>
      </c>
      <c r="W10" s="720" t="s">
        <v>266</v>
      </c>
      <c r="X10" s="720" t="s">
        <v>266</v>
      </c>
      <c r="Y10" s="720" t="s">
        <v>266</v>
      </c>
      <c r="Z10" s="720" t="s">
        <v>266</v>
      </c>
      <c r="AA10" s="720" t="s">
        <v>266</v>
      </c>
      <c r="AB10" s="720" t="s">
        <v>266</v>
      </c>
      <c r="AC10" s="720" t="s">
        <v>266</v>
      </c>
      <c r="AD10" s="729" t="s">
        <v>272</v>
      </c>
      <c r="AE10" s="737" t="s">
        <v>272</v>
      </c>
      <c r="AF10" s="729" t="s">
        <v>272</v>
      </c>
      <c r="AG10" s="729" t="s">
        <v>272</v>
      </c>
      <c r="AH10" s="729" t="s">
        <v>272</v>
      </c>
      <c r="AI10" s="729" t="s">
        <v>272</v>
      </c>
      <c r="AJ10" s="729" t="s">
        <v>272</v>
      </c>
      <c r="AK10" s="729" t="s">
        <v>272</v>
      </c>
      <c r="AL10" s="729" t="s">
        <v>272</v>
      </c>
      <c r="AM10" s="720" t="s">
        <v>266</v>
      </c>
      <c r="AN10" s="720" t="s">
        <v>266</v>
      </c>
      <c r="AO10" s="738" t="s">
        <v>494</v>
      </c>
    </row>
    <row r="11" s="693" customFormat="1" ht="29" spans="1:42">
      <c r="A11" s="739">
        <v>5</v>
      </c>
      <c r="B11" s="739" t="s">
        <v>495</v>
      </c>
      <c r="C11" s="739" t="s">
        <v>496</v>
      </c>
      <c r="D11" s="739" t="s">
        <v>497</v>
      </c>
      <c r="E11" s="740" t="s">
        <v>282</v>
      </c>
      <c r="F11" s="745" t="s">
        <v>272</v>
      </c>
      <c r="G11" s="732" t="s">
        <v>476</v>
      </c>
      <c r="H11" s="746">
        <v>15</v>
      </c>
      <c r="I11" s="723" t="s">
        <v>490</v>
      </c>
      <c r="J11" s="723" t="s">
        <v>491</v>
      </c>
      <c r="K11" s="742" t="s">
        <v>498</v>
      </c>
      <c r="L11" s="409" t="s">
        <v>497</v>
      </c>
      <c r="M11" s="409" t="s">
        <v>193</v>
      </c>
      <c r="N11" s="409" t="s">
        <v>193</v>
      </c>
      <c r="O11" s="409" t="s">
        <v>470</v>
      </c>
      <c r="P11" s="409" t="s">
        <v>193</v>
      </c>
      <c r="Q11" s="409" t="s">
        <v>193</v>
      </c>
      <c r="R11" s="409" t="s">
        <v>193</v>
      </c>
      <c r="S11" s="727" t="s">
        <v>91</v>
      </c>
      <c r="T11" s="747" t="s">
        <v>471</v>
      </c>
      <c r="U11" s="748" t="s">
        <v>266</v>
      </c>
      <c r="V11" s="737" t="s">
        <v>266</v>
      </c>
      <c r="W11" s="748" t="s">
        <v>266</v>
      </c>
      <c r="X11" s="748" t="s">
        <v>266</v>
      </c>
      <c r="Y11" s="748" t="s">
        <v>266</v>
      </c>
      <c r="Z11" s="748" t="s">
        <v>266</v>
      </c>
      <c r="AA11" s="748" t="s">
        <v>266</v>
      </c>
      <c r="AB11" s="748" t="s">
        <v>266</v>
      </c>
      <c r="AC11" s="748" t="s">
        <v>266</v>
      </c>
      <c r="AD11" s="748" t="s">
        <v>272</v>
      </c>
      <c r="AE11" s="737" t="s">
        <v>272</v>
      </c>
      <c r="AF11" s="749" t="s">
        <v>272</v>
      </c>
      <c r="AG11" s="749" t="s">
        <v>272</v>
      </c>
      <c r="AH11" s="749" t="s">
        <v>272</v>
      </c>
      <c r="AI11" s="749" t="s">
        <v>272</v>
      </c>
      <c r="AJ11" s="749" t="s">
        <v>272</v>
      </c>
      <c r="AK11" s="749" t="s">
        <v>272</v>
      </c>
      <c r="AL11" s="749" t="s">
        <v>272</v>
      </c>
      <c r="AM11" s="750" t="s">
        <v>266</v>
      </c>
      <c r="AN11" s="751" t="s">
        <v>266</v>
      </c>
      <c r="AO11" s="752" t="s">
        <v>499</v>
      </c>
    </row>
    <row r="12" s="693" customFormat="1" ht="27.65" customHeight="1" spans="1:42">
      <c r="A12" s="739">
        <v>6</v>
      </c>
      <c r="B12" s="739" t="s">
        <v>500</v>
      </c>
      <c r="C12" s="739" t="s">
        <v>501</v>
      </c>
      <c r="D12" s="753" t="s">
        <v>502</v>
      </c>
      <c r="E12" s="753" t="s">
        <v>282</v>
      </c>
      <c r="F12" s="745" t="s">
        <v>272</v>
      </c>
      <c r="G12" s="754" t="s">
        <v>476</v>
      </c>
      <c r="H12" s="746">
        <v>12</v>
      </c>
      <c r="I12" s="723" t="s">
        <v>503</v>
      </c>
      <c r="J12" s="723" t="s">
        <v>504</v>
      </c>
      <c r="K12" s="742" t="s">
        <v>501</v>
      </c>
      <c r="L12" s="409" t="s">
        <v>502</v>
      </c>
      <c r="M12" s="409" t="s">
        <v>193</v>
      </c>
      <c r="N12" s="409" t="s">
        <v>193</v>
      </c>
      <c r="O12" s="409" t="s">
        <v>470</v>
      </c>
      <c r="P12" s="409" t="s">
        <v>193</v>
      </c>
      <c r="Q12" s="409" t="s">
        <v>193</v>
      </c>
      <c r="R12" s="409" t="s">
        <v>193</v>
      </c>
      <c r="S12" s="727" t="s">
        <v>91</v>
      </c>
      <c r="T12" s="747" t="s">
        <v>471</v>
      </c>
      <c r="U12" s="748" t="s">
        <v>266</v>
      </c>
      <c r="V12" s="737" t="s">
        <v>266</v>
      </c>
      <c r="W12" s="748" t="s">
        <v>266</v>
      </c>
      <c r="X12" s="748" t="s">
        <v>266</v>
      </c>
      <c r="Y12" s="748" t="s">
        <v>266</v>
      </c>
      <c r="Z12" s="748" t="s">
        <v>266</v>
      </c>
      <c r="AA12" s="748" t="s">
        <v>266</v>
      </c>
      <c r="AB12" s="748" t="s">
        <v>266</v>
      </c>
      <c r="AC12" s="748" t="s">
        <v>266</v>
      </c>
      <c r="AD12" s="748" t="s">
        <v>272</v>
      </c>
      <c r="AE12" s="737" t="s">
        <v>272</v>
      </c>
      <c r="AF12" s="749" t="s">
        <v>272</v>
      </c>
      <c r="AG12" s="749" t="s">
        <v>272</v>
      </c>
      <c r="AH12" s="749" t="s">
        <v>272</v>
      </c>
      <c r="AI12" s="749" t="s">
        <v>272</v>
      </c>
      <c r="AJ12" s="749" t="s">
        <v>272</v>
      </c>
      <c r="AK12" s="749" t="s">
        <v>272</v>
      </c>
      <c r="AL12" s="749" t="s">
        <v>272</v>
      </c>
      <c r="AM12" s="750" t="s">
        <v>266</v>
      </c>
      <c r="AN12" s="755" t="s">
        <v>266</v>
      </c>
      <c r="AO12" s="741" t="s">
        <v>499</v>
      </c>
    </row>
    <row r="13" s="694" customFormat="1" ht="87" spans="1:42">
      <c r="A13" s="739">
        <v>7</v>
      </c>
      <c r="B13" s="753" t="s">
        <v>505</v>
      </c>
      <c r="C13" s="753" t="s">
        <v>506</v>
      </c>
      <c r="D13" s="753" t="s">
        <v>507</v>
      </c>
      <c r="E13" s="753" t="s">
        <v>265</v>
      </c>
      <c r="F13" s="720" t="s">
        <v>266</v>
      </c>
      <c r="G13" s="756" t="s">
        <v>476</v>
      </c>
      <c r="H13" s="746">
        <v>12</v>
      </c>
      <c r="I13" s="723" t="s">
        <v>503</v>
      </c>
      <c r="J13" s="723" t="s">
        <v>504</v>
      </c>
      <c r="K13" s="742" t="s">
        <v>508</v>
      </c>
      <c r="L13" s="409" t="s">
        <v>507</v>
      </c>
      <c r="M13" s="409" t="s">
        <v>193</v>
      </c>
      <c r="N13" s="409" t="s">
        <v>193</v>
      </c>
      <c r="O13" s="409" t="s">
        <v>470</v>
      </c>
      <c r="P13" s="409" t="s">
        <v>193</v>
      </c>
      <c r="Q13" s="409" t="s">
        <v>193</v>
      </c>
      <c r="R13" s="743" t="s">
        <v>509</v>
      </c>
      <c r="S13" s="727" t="s">
        <v>91</v>
      </c>
      <c r="T13" s="728" t="s">
        <v>471</v>
      </c>
      <c r="U13" s="720" t="s">
        <v>266</v>
      </c>
      <c r="V13" s="716" t="s">
        <v>266</v>
      </c>
      <c r="W13" s="720" t="s">
        <v>266</v>
      </c>
      <c r="X13" s="720" t="s">
        <v>266</v>
      </c>
      <c r="Y13" s="720" t="s">
        <v>266</v>
      </c>
      <c r="Z13" s="720" t="s">
        <v>266</v>
      </c>
      <c r="AA13" s="720" t="s">
        <v>266</v>
      </c>
      <c r="AB13" s="720" t="s">
        <v>266</v>
      </c>
      <c r="AC13" s="720" t="s">
        <v>266</v>
      </c>
      <c r="AD13" s="729" t="s">
        <v>272</v>
      </c>
      <c r="AE13" s="737" t="s">
        <v>272</v>
      </c>
      <c r="AF13" s="729" t="s">
        <v>272</v>
      </c>
      <c r="AG13" s="729" t="s">
        <v>272</v>
      </c>
      <c r="AH13" s="729" t="s">
        <v>272</v>
      </c>
      <c r="AI13" s="729" t="s">
        <v>272</v>
      </c>
      <c r="AJ13" s="729" t="s">
        <v>272</v>
      </c>
      <c r="AK13" s="729" t="s">
        <v>272</v>
      </c>
      <c r="AL13" s="729" t="s">
        <v>272</v>
      </c>
      <c r="AM13" s="720" t="s">
        <v>266</v>
      </c>
      <c r="AN13" s="720" t="s">
        <v>266</v>
      </c>
      <c r="AO13" s="757" t="s">
        <v>510</v>
      </c>
    </row>
    <row r="14" s="694" customFormat="1" ht="24.65" customHeight="1" spans="1:42">
      <c r="A14" s="758">
        <v>8</v>
      </c>
      <c r="B14" s="759" t="s">
        <v>511</v>
      </c>
      <c r="C14" s="760" t="s">
        <v>512</v>
      </c>
      <c r="D14" s="761" t="s">
        <v>513</v>
      </c>
      <c r="E14" s="762" t="s">
        <v>282</v>
      </c>
      <c r="F14" s="745" t="s">
        <v>272</v>
      </c>
      <c r="G14" s="756" t="s">
        <v>476</v>
      </c>
      <c r="H14" s="746">
        <v>12</v>
      </c>
      <c r="I14" s="723" t="s">
        <v>503</v>
      </c>
      <c r="J14" s="723" t="s">
        <v>504</v>
      </c>
      <c r="K14" s="742" t="s">
        <v>514</v>
      </c>
      <c r="L14" s="409" t="s">
        <v>513</v>
      </c>
      <c r="M14" s="409" t="s">
        <v>193</v>
      </c>
      <c r="N14" s="409" t="s">
        <v>193</v>
      </c>
      <c r="O14" s="409" t="s">
        <v>470</v>
      </c>
      <c r="P14" s="409" t="s">
        <v>193</v>
      </c>
      <c r="Q14" s="409" t="s">
        <v>193</v>
      </c>
      <c r="R14" s="409" t="s">
        <v>193</v>
      </c>
      <c r="S14" s="727" t="s">
        <v>91</v>
      </c>
      <c r="T14" s="763" t="s">
        <v>471</v>
      </c>
      <c r="U14" s="764" t="s">
        <v>266</v>
      </c>
      <c r="V14" s="765" t="s">
        <v>266</v>
      </c>
      <c r="W14" s="764" t="s">
        <v>266</v>
      </c>
      <c r="X14" s="764" t="s">
        <v>266</v>
      </c>
      <c r="Y14" s="764" t="s">
        <v>266</v>
      </c>
      <c r="Z14" s="764" t="s">
        <v>266</v>
      </c>
      <c r="AA14" s="764" t="s">
        <v>266</v>
      </c>
      <c r="AB14" s="764" t="s">
        <v>266</v>
      </c>
      <c r="AC14" s="764" t="s">
        <v>266</v>
      </c>
      <c r="AD14" s="764" t="s">
        <v>272</v>
      </c>
      <c r="AE14" s="765" t="s">
        <v>272</v>
      </c>
      <c r="AF14" s="766" t="s">
        <v>272</v>
      </c>
      <c r="AG14" s="766" t="s">
        <v>272</v>
      </c>
      <c r="AH14" s="766" t="s">
        <v>272</v>
      </c>
      <c r="AI14" s="766" t="s">
        <v>272</v>
      </c>
      <c r="AJ14" s="766" t="s">
        <v>272</v>
      </c>
      <c r="AK14" s="766" t="s">
        <v>272</v>
      </c>
      <c r="AL14" s="766" t="s">
        <v>272</v>
      </c>
      <c r="AM14" s="767" t="s">
        <v>266</v>
      </c>
      <c r="AN14" s="768" t="s">
        <v>266</v>
      </c>
      <c r="AO14" s="769" t="s">
        <v>499</v>
      </c>
    </row>
    <row r="15" s="692" customFormat="1" ht="59.5" customHeight="1" spans="1:42">
      <c r="A15" s="770">
        <v>9</v>
      </c>
      <c r="B15" s="706" t="s">
        <v>515</v>
      </c>
      <c r="C15" s="722" t="s">
        <v>516</v>
      </c>
      <c r="D15" s="712" t="s">
        <v>517</v>
      </c>
      <c r="E15" s="724" t="s">
        <v>265</v>
      </c>
      <c r="F15" s="771" t="s">
        <v>266</v>
      </c>
      <c r="G15" s="772" t="s">
        <v>467</v>
      </c>
      <c r="H15" s="773">
        <v>9</v>
      </c>
      <c r="I15" s="727" t="s">
        <v>469</v>
      </c>
      <c r="J15" s="727" t="s">
        <v>469</v>
      </c>
      <c r="K15" s="725" t="s">
        <v>518</v>
      </c>
      <c r="L15" s="725" t="s">
        <v>517</v>
      </c>
      <c r="M15" s="712" t="s">
        <v>193</v>
      </c>
      <c r="N15" s="712" t="s">
        <v>193</v>
      </c>
      <c r="O15" s="409" t="s">
        <v>470</v>
      </c>
      <c r="P15" s="725" t="s">
        <v>193</v>
      </c>
      <c r="Q15" s="725" t="s">
        <v>193</v>
      </c>
      <c r="R15" s="774" t="s">
        <v>519</v>
      </c>
      <c r="S15" s="727" t="s">
        <v>91</v>
      </c>
      <c r="T15" s="736" t="s">
        <v>520</v>
      </c>
      <c r="U15" s="771" t="s">
        <v>266</v>
      </c>
      <c r="V15" s="716" t="s">
        <v>266</v>
      </c>
      <c r="W15" s="771" t="s">
        <v>266</v>
      </c>
      <c r="X15" s="771" t="s">
        <v>266</v>
      </c>
      <c r="Y15" s="771" t="s">
        <v>266</v>
      </c>
      <c r="Z15" s="771" t="s">
        <v>266</v>
      </c>
      <c r="AA15" s="771" t="s">
        <v>266</v>
      </c>
      <c r="AB15" s="771" t="s">
        <v>266</v>
      </c>
      <c r="AC15" s="771" t="s">
        <v>266</v>
      </c>
      <c r="AD15" s="775" t="s">
        <v>272</v>
      </c>
      <c r="AE15" s="716" t="s">
        <v>272</v>
      </c>
      <c r="AF15" s="776" t="s">
        <v>266</v>
      </c>
      <c r="AG15" s="775" t="s">
        <v>272</v>
      </c>
      <c r="AH15" s="775" t="s">
        <v>272</v>
      </c>
      <c r="AI15" s="775" t="s">
        <v>272</v>
      </c>
      <c r="AJ15" s="775" t="s">
        <v>272</v>
      </c>
      <c r="AK15" s="776" t="s">
        <v>266</v>
      </c>
      <c r="AL15" s="775" t="s">
        <v>272</v>
      </c>
      <c r="AM15" s="771" t="s">
        <v>266</v>
      </c>
      <c r="AN15" s="771" t="s">
        <v>266</v>
      </c>
      <c r="AO15" s="777" t="s">
        <v>499</v>
      </c>
      <c r="AP15" s="694"/>
    </row>
    <row r="16" s="694" customFormat="1" ht="102.65" customHeight="1" spans="1:42">
      <c r="A16" s="739">
        <v>10</v>
      </c>
      <c r="B16" s="739" t="s">
        <v>521</v>
      </c>
      <c r="C16" s="739" t="s">
        <v>522</v>
      </c>
      <c r="D16" s="739" t="s">
        <v>523</v>
      </c>
      <c r="E16" s="739" t="s">
        <v>265</v>
      </c>
      <c r="F16" s="778" t="s">
        <v>266</v>
      </c>
      <c r="G16" s="732" t="s">
        <v>476</v>
      </c>
      <c r="H16" s="741">
        <v>16</v>
      </c>
      <c r="I16" s="779" t="s">
        <v>524</v>
      </c>
      <c r="J16" s="779" t="s">
        <v>469</v>
      </c>
      <c r="K16" s="780" t="s">
        <v>522</v>
      </c>
      <c r="L16" s="781" t="s">
        <v>523</v>
      </c>
      <c r="M16" s="780" t="s">
        <v>193</v>
      </c>
      <c r="N16" s="780" t="s">
        <v>193</v>
      </c>
      <c r="O16" s="782" t="s">
        <v>470</v>
      </c>
      <c r="P16" s="783" t="s">
        <v>193</v>
      </c>
      <c r="Q16" s="783" t="s">
        <v>193</v>
      </c>
      <c r="R16" s="774" t="s">
        <v>525</v>
      </c>
      <c r="S16" s="784" t="s">
        <v>91</v>
      </c>
      <c r="T16" s="785" t="s">
        <v>471</v>
      </c>
      <c r="U16" s="778" t="s">
        <v>266</v>
      </c>
      <c r="V16" s="737" t="s">
        <v>266</v>
      </c>
      <c r="W16" s="778" t="s">
        <v>266</v>
      </c>
      <c r="X16" s="778" t="s">
        <v>266</v>
      </c>
      <c r="Y16" s="778" t="s">
        <v>266</v>
      </c>
      <c r="Z16" s="778" t="s">
        <v>266</v>
      </c>
      <c r="AA16" s="778" t="s">
        <v>266</v>
      </c>
      <c r="AB16" s="778" t="s">
        <v>266</v>
      </c>
      <c r="AC16" s="778" t="s">
        <v>266</v>
      </c>
      <c r="AD16" s="786" t="s">
        <v>272</v>
      </c>
      <c r="AE16" s="737" t="s">
        <v>272</v>
      </c>
      <c r="AF16" s="786" t="s">
        <v>272</v>
      </c>
      <c r="AG16" s="786" t="s">
        <v>272</v>
      </c>
      <c r="AH16" s="786" t="s">
        <v>272</v>
      </c>
      <c r="AI16" s="786" t="s">
        <v>272</v>
      </c>
      <c r="AJ16" s="786" t="s">
        <v>272</v>
      </c>
      <c r="AK16" s="786" t="s">
        <v>272</v>
      </c>
      <c r="AL16" s="786" t="s">
        <v>272</v>
      </c>
      <c r="AM16" s="778" t="s">
        <v>266</v>
      </c>
      <c r="AN16" s="778" t="s">
        <v>266</v>
      </c>
      <c r="AO16" s="787" t="s">
        <v>526</v>
      </c>
    </row>
    <row r="17" s="694" customFormat="1" ht="16.75" customHeight="1" spans="1:42">
      <c r="A17" s="788"/>
      <c r="B17" s="788"/>
      <c r="C17" s="788"/>
      <c r="D17" s="788"/>
      <c r="E17" s="788"/>
      <c r="F17" s="789"/>
      <c r="G17" s="790"/>
      <c r="H17" s="791"/>
      <c r="I17" s="779" t="s">
        <v>527</v>
      </c>
      <c r="J17" s="779" t="s">
        <v>469</v>
      </c>
      <c r="K17" s="723" t="s">
        <v>103</v>
      </c>
      <c r="L17" s="409" t="s">
        <v>528</v>
      </c>
      <c r="M17" s="780" t="s">
        <v>193</v>
      </c>
      <c r="N17" s="780" t="s">
        <v>193</v>
      </c>
      <c r="O17" s="782" t="s">
        <v>470</v>
      </c>
      <c r="P17" s="783" t="s">
        <v>193</v>
      </c>
      <c r="Q17" s="783" t="s">
        <v>193</v>
      </c>
      <c r="R17" s="792" t="s">
        <v>529</v>
      </c>
      <c r="S17" s="784" t="s">
        <v>91</v>
      </c>
      <c r="T17" s="793"/>
      <c r="U17" s="789"/>
      <c r="V17" s="794"/>
      <c r="W17" s="789"/>
      <c r="X17" s="789"/>
      <c r="Y17" s="789"/>
      <c r="Z17" s="789"/>
      <c r="AA17" s="789"/>
      <c r="AB17" s="789"/>
      <c r="AC17" s="789"/>
      <c r="AD17" s="795"/>
      <c r="AE17" s="794"/>
      <c r="AF17" s="795"/>
      <c r="AG17" s="795"/>
      <c r="AH17" s="795"/>
      <c r="AI17" s="795"/>
      <c r="AJ17" s="795"/>
      <c r="AK17" s="795"/>
      <c r="AL17" s="795"/>
      <c r="AM17" s="789"/>
      <c r="AN17" s="789"/>
      <c r="AO17" s="796"/>
    </row>
    <row r="18" s="692" customFormat="1" ht="26" spans="1:42">
      <c r="A18" s="797">
        <v>11</v>
      </c>
      <c r="B18" s="798" t="s">
        <v>530</v>
      </c>
      <c r="C18" s="799" t="s">
        <v>531</v>
      </c>
      <c r="D18" s="799" t="s">
        <v>532</v>
      </c>
      <c r="E18" s="799" t="s">
        <v>282</v>
      </c>
      <c r="F18" s="800" t="s">
        <v>272</v>
      </c>
      <c r="G18" s="801" t="s">
        <v>476</v>
      </c>
      <c r="H18" s="741">
        <v>16</v>
      </c>
      <c r="I18" s="779" t="s">
        <v>524</v>
      </c>
      <c r="J18" s="779" t="s">
        <v>469</v>
      </c>
      <c r="K18" s="707" t="s">
        <v>531</v>
      </c>
      <c r="L18" s="753" t="s">
        <v>532</v>
      </c>
      <c r="M18" s="409" t="s">
        <v>193</v>
      </c>
      <c r="N18" s="409" t="s">
        <v>193</v>
      </c>
      <c r="O18" s="409" t="s">
        <v>470</v>
      </c>
      <c r="P18" s="409" t="s">
        <v>193</v>
      </c>
      <c r="Q18" s="409" t="s">
        <v>193</v>
      </c>
      <c r="R18" s="409" t="s">
        <v>193</v>
      </c>
      <c r="S18" s="727" t="s">
        <v>91</v>
      </c>
      <c r="T18" s="802" t="s">
        <v>520</v>
      </c>
      <c r="U18" s="803" t="s">
        <v>266</v>
      </c>
      <c r="V18" s="804" t="s">
        <v>272</v>
      </c>
      <c r="W18" s="803" t="s">
        <v>266</v>
      </c>
      <c r="X18" s="803" t="s">
        <v>266</v>
      </c>
      <c r="Y18" s="803" t="s">
        <v>266</v>
      </c>
      <c r="Z18" s="803" t="s">
        <v>266</v>
      </c>
      <c r="AA18" s="803" t="s">
        <v>266</v>
      </c>
      <c r="AB18" s="803" t="s">
        <v>266</v>
      </c>
      <c r="AC18" s="803" t="s">
        <v>266</v>
      </c>
      <c r="AD18" s="803" t="s">
        <v>272</v>
      </c>
      <c r="AE18" s="804" t="s">
        <v>272</v>
      </c>
      <c r="AF18" s="805" t="s">
        <v>272</v>
      </c>
      <c r="AG18" s="805" t="s">
        <v>272</v>
      </c>
      <c r="AH18" s="805" t="s">
        <v>272</v>
      </c>
      <c r="AI18" s="805" t="s">
        <v>272</v>
      </c>
      <c r="AJ18" s="805" t="s">
        <v>272</v>
      </c>
      <c r="AK18" s="805" t="s">
        <v>272</v>
      </c>
      <c r="AL18" s="805" t="s">
        <v>272</v>
      </c>
      <c r="AM18" s="805" t="s">
        <v>266</v>
      </c>
      <c r="AN18" s="806" t="s">
        <v>266</v>
      </c>
      <c r="AO18" s="807" t="s">
        <v>533</v>
      </c>
    </row>
    <row r="19" s="692" customFormat="1" ht="12" customHeight="1" spans="1:42">
      <c r="A19" s="808"/>
      <c r="B19" s="809"/>
      <c r="C19" s="810"/>
      <c r="D19" s="810"/>
      <c r="E19" s="810"/>
      <c r="F19" s="811"/>
      <c r="G19" s="812"/>
      <c r="H19" s="791"/>
      <c r="I19" s="779" t="s">
        <v>527</v>
      </c>
      <c r="J19" s="779" t="s">
        <v>469</v>
      </c>
      <c r="K19" s="723" t="s">
        <v>103</v>
      </c>
      <c r="L19" s="409" t="s">
        <v>528</v>
      </c>
      <c r="M19" s="409" t="s">
        <v>193</v>
      </c>
      <c r="N19" s="409" t="s">
        <v>193</v>
      </c>
      <c r="O19" s="409" t="s">
        <v>470</v>
      </c>
      <c r="P19" s="409" t="s">
        <v>193</v>
      </c>
      <c r="Q19" s="409" t="s">
        <v>193</v>
      </c>
      <c r="R19" s="409" t="s">
        <v>193</v>
      </c>
      <c r="S19" s="727" t="s">
        <v>91</v>
      </c>
      <c r="T19" s="813"/>
      <c r="U19" s="814"/>
      <c r="V19" s="815"/>
      <c r="W19" s="814"/>
      <c r="X19" s="814"/>
      <c r="Y19" s="814"/>
      <c r="Z19" s="814"/>
      <c r="AA19" s="814"/>
      <c r="AB19" s="814"/>
      <c r="AC19" s="814"/>
      <c r="AD19" s="814"/>
      <c r="AE19" s="815"/>
      <c r="AF19" s="816"/>
      <c r="AG19" s="816"/>
      <c r="AH19" s="816"/>
      <c r="AI19" s="816"/>
      <c r="AJ19" s="816"/>
      <c r="AK19" s="816"/>
      <c r="AL19" s="816"/>
      <c r="AM19" s="816"/>
      <c r="AN19" s="817"/>
      <c r="AO19" s="818"/>
    </row>
    <row r="20" s="693" customFormat="1" ht="26" spans="1:42">
      <c r="A20" s="739">
        <v>12</v>
      </c>
      <c r="B20" s="819" t="s">
        <v>534</v>
      </c>
      <c r="C20" s="819" t="s">
        <v>535</v>
      </c>
      <c r="D20" s="819" t="s">
        <v>536</v>
      </c>
      <c r="E20" s="819" t="s">
        <v>282</v>
      </c>
      <c r="F20" s="745" t="s">
        <v>272</v>
      </c>
      <c r="G20" s="820" t="s">
        <v>476</v>
      </c>
      <c r="H20" s="741">
        <v>16</v>
      </c>
      <c r="I20" s="779" t="s">
        <v>524</v>
      </c>
      <c r="J20" s="779" t="s">
        <v>469</v>
      </c>
      <c r="K20" s="707" t="s">
        <v>535</v>
      </c>
      <c r="L20" s="753" t="s">
        <v>536</v>
      </c>
      <c r="M20" s="409" t="s">
        <v>193</v>
      </c>
      <c r="N20" s="409" t="s">
        <v>193</v>
      </c>
      <c r="O20" s="409" t="s">
        <v>470</v>
      </c>
      <c r="P20" s="409" t="s">
        <v>193</v>
      </c>
      <c r="Q20" s="409" t="s">
        <v>193</v>
      </c>
      <c r="R20" s="409" t="s">
        <v>193</v>
      </c>
      <c r="S20" s="727" t="s">
        <v>91</v>
      </c>
      <c r="T20" s="747" t="s">
        <v>471</v>
      </c>
      <c r="U20" s="748" t="s">
        <v>266</v>
      </c>
      <c r="V20" s="737" t="s">
        <v>266</v>
      </c>
      <c r="W20" s="748" t="s">
        <v>266</v>
      </c>
      <c r="X20" s="748" t="s">
        <v>266</v>
      </c>
      <c r="Y20" s="748" t="s">
        <v>266</v>
      </c>
      <c r="Z20" s="748" t="s">
        <v>266</v>
      </c>
      <c r="AA20" s="748" t="s">
        <v>266</v>
      </c>
      <c r="AB20" s="748" t="s">
        <v>266</v>
      </c>
      <c r="AC20" s="748" t="s">
        <v>266</v>
      </c>
      <c r="AD20" s="748" t="s">
        <v>272</v>
      </c>
      <c r="AE20" s="737" t="s">
        <v>272</v>
      </c>
      <c r="AF20" s="749" t="s">
        <v>272</v>
      </c>
      <c r="AG20" s="749" t="s">
        <v>272</v>
      </c>
      <c r="AH20" s="749" t="s">
        <v>272</v>
      </c>
      <c r="AI20" s="749" t="s">
        <v>272</v>
      </c>
      <c r="AJ20" s="749" t="s">
        <v>272</v>
      </c>
      <c r="AK20" s="749" t="s">
        <v>272</v>
      </c>
      <c r="AL20" s="749" t="s">
        <v>272</v>
      </c>
      <c r="AM20" s="750" t="s">
        <v>266</v>
      </c>
      <c r="AN20" s="750" t="s">
        <v>266</v>
      </c>
      <c r="AO20" s="787" t="s">
        <v>526</v>
      </c>
    </row>
    <row r="21" s="693" customFormat="1" ht="13.4" customHeight="1" spans="1:42">
      <c r="A21" s="788"/>
      <c r="B21" s="821"/>
      <c r="C21" s="821"/>
      <c r="D21" s="821"/>
      <c r="E21" s="821"/>
      <c r="F21" s="822"/>
      <c r="G21" s="823"/>
      <c r="H21" s="791"/>
      <c r="I21" s="779" t="s">
        <v>527</v>
      </c>
      <c r="J21" s="779" t="s">
        <v>469</v>
      </c>
      <c r="K21" s="723" t="s">
        <v>103</v>
      </c>
      <c r="L21" s="409" t="s">
        <v>528</v>
      </c>
      <c r="M21" s="409" t="s">
        <v>193</v>
      </c>
      <c r="N21" s="409" t="s">
        <v>193</v>
      </c>
      <c r="O21" s="409" t="s">
        <v>470</v>
      </c>
      <c r="P21" s="409" t="s">
        <v>193</v>
      </c>
      <c r="Q21" s="409" t="s">
        <v>193</v>
      </c>
      <c r="R21" s="409" t="s">
        <v>193</v>
      </c>
      <c r="S21" s="727" t="s">
        <v>91</v>
      </c>
      <c r="T21" s="824"/>
      <c r="U21" s="825"/>
      <c r="V21" s="794"/>
      <c r="W21" s="825"/>
      <c r="X21" s="825"/>
      <c r="Y21" s="825"/>
      <c r="Z21" s="825"/>
      <c r="AA21" s="825"/>
      <c r="AB21" s="825"/>
      <c r="AC21" s="825"/>
      <c r="AD21" s="825"/>
      <c r="AE21" s="794"/>
      <c r="AF21" s="826"/>
      <c r="AG21" s="826"/>
      <c r="AH21" s="826"/>
      <c r="AI21" s="826"/>
      <c r="AJ21" s="826"/>
      <c r="AK21" s="826"/>
      <c r="AL21" s="826"/>
      <c r="AM21" s="827"/>
      <c r="AN21" s="827"/>
      <c r="AO21" s="796"/>
    </row>
    <row r="22" s="694" customFormat="1" ht="26" spans="1:42">
      <c r="A22" s="753">
        <v>13</v>
      </c>
      <c r="B22" s="725" t="s">
        <v>537</v>
      </c>
      <c r="C22" s="725" t="s">
        <v>538</v>
      </c>
      <c r="D22" s="712" t="s">
        <v>539</v>
      </c>
      <c r="E22" s="828" t="s">
        <v>265</v>
      </c>
      <c r="F22" s="829" t="s">
        <v>266</v>
      </c>
      <c r="G22" s="754" t="s">
        <v>467</v>
      </c>
      <c r="H22" s="830">
        <v>19</v>
      </c>
      <c r="I22" s="712">
        <v>0</v>
      </c>
      <c r="J22" s="712" t="s">
        <v>540</v>
      </c>
      <c r="K22" s="725" t="s">
        <v>541</v>
      </c>
      <c r="L22" s="725" t="s">
        <v>542</v>
      </c>
      <c r="M22" s="725">
        <v>2000</v>
      </c>
      <c r="N22" s="725">
        <v>2255</v>
      </c>
      <c r="O22" s="409" t="s">
        <v>543</v>
      </c>
      <c r="P22" s="725" t="s">
        <v>544</v>
      </c>
      <c r="Q22" s="725" t="s">
        <v>544</v>
      </c>
      <c r="R22" s="725">
        <v>2000</v>
      </c>
      <c r="S22" s="727" t="s">
        <v>93</v>
      </c>
      <c r="T22" s="728" t="s">
        <v>520</v>
      </c>
      <c r="U22" s="831" t="s">
        <v>266</v>
      </c>
      <c r="V22" s="737" t="s">
        <v>272</v>
      </c>
      <c r="W22" s="831" t="s">
        <v>266</v>
      </c>
      <c r="X22" s="831" t="s">
        <v>266</v>
      </c>
      <c r="Y22" s="831" t="s">
        <v>266</v>
      </c>
      <c r="Z22" s="831" t="s">
        <v>266</v>
      </c>
      <c r="AA22" s="831" t="s">
        <v>266</v>
      </c>
      <c r="AB22" s="831" t="s">
        <v>266</v>
      </c>
      <c r="AC22" s="831" t="s">
        <v>266</v>
      </c>
      <c r="AD22" s="786" t="s">
        <v>272</v>
      </c>
      <c r="AE22" s="832" t="s">
        <v>266</v>
      </c>
      <c r="AF22" s="832" t="s">
        <v>272</v>
      </c>
      <c r="AG22" s="786" t="s">
        <v>272</v>
      </c>
      <c r="AH22" s="831" t="s">
        <v>266</v>
      </c>
      <c r="AI22" s="786" t="s">
        <v>272</v>
      </c>
      <c r="AJ22" s="786" t="s">
        <v>272</v>
      </c>
      <c r="AK22" s="786" t="s">
        <v>272</v>
      </c>
      <c r="AL22" s="831" t="s">
        <v>266</v>
      </c>
      <c r="AM22" s="831" t="s">
        <v>266</v>
      </c>
      <c r="AN22" s="831" t="s">
        <v>266</v>
      </c>
      <c r="AO22" s="833" t="s">
        <v>545</v>
      </c>
      <c r="AP22" s="834" t="s">
        <v>546</v>
      </c>
    </row>
    <row r="23" s="694" customFormat="1" ht="26" spans="1:42">
      <c r="A23" s="753"/>
      <c r="B23" s="725"/>
      <c r="C23" s="725"/>
      <c r="D23" s="712"/>
      <c r="E23" s="835"/>
      <c r="F23" s="836"/>
      <c r="G23" s="769"/>
      <c r="H23" s="837"/>
      <c r="I23" s="712">
        <v>1</v>
      </c>
      <c r="J23" s="712" t="s">
        <v>540</v>
      </c>
      <c r="K23" s="725" t="s">
        <v>547</v>
      </c>
      <c r="L23" s="725" t="s">
        <v>548</v>
      </c>
      <c r="M23" s="725">
        <v>1</v>
      </c>
      <c r="N23" s="725">
        <v>12</v>
      </c>
      <c r="O23" s="409" t="s">
        <v>549</v>
      </c>
      <c r="P23" s="725" t="s">
        <v>550</v>
      </c>
      <c r="Q23" s="725" t="s">
        <v>550</v>
      </c>
      <c r="R23" s="409">
        <v>1</v>
      </c>
      <c r="S23" s="727" t="s">
        <v>93</v>
      </c>
      <c r="T23" s="728"/>
      <c r="U23" s="838"/>
      <c r="V23" s="765"/>
      <c r="W23" s="838"/>
      <c r="X23" s="838"/>
      <c r="Y23" s="838"/>
      <c r="Z23" s="838"/>
      <c r="AA23" s="838"/>
      <c r="AB23" s="838"/>
      <c r="AC23" s="838"/>
      <c r="AD23" s="839"/>
      <c r="AE23" s="840"/>
      <c r="AF23" s="840"/>
      <c r="AG23" s="839"/>
      <c r="AH23" s="838"/>
      <c r="AI23" s="839"/>
      <c r="AJ23" s="839"/>
      <c r="AK23" s="839"/>
      <c r="AL23" s="838"/>
      <c r="AM23" s="838"/>
      <c r="AN23" s="838"/>
      <c r="AO23" s="833"/>
      <c r="AP23" s="834"/>
    </row>
    <row r="24" s="694" customFormat="1" ht="26" spans="1:42">
      <c r="A24" s="753"/>
      <c r="B24" s="725"/>
      <c r="C24" s="725"/>
      <c r="D24" s="712"/>
      <c r="E24" s="835"/>
      <c r="F24" s="836"/>
      <c r="G24" s="769"/>
      <c r="H24" s="837"/>
      <c r="I24" s="712">
        <v>2</v>
      </c>
      <c r="J24" s="712" t="s">
        <v>540</v>
      </c>
      <c r="K24" s="725" t="s">
        <v>551</v>
      </c>
      <c r="L24" s="725" t="s">
        <v>552</v>
      </c>
      <c r="M24" s="725">
        <v>1</v>
      </c>
      <c r="N24" s="725">
        <v>31</v>
      </c>
      <c r="O24" s="409" t="s">
        <v>553</v>
      </c>
      <c r="P24" s="725" t="s">
        <v>550</v>
      </c>
      <c r="Q24" s="725" t="s">
        <v>550</v>
      </c>
      <c r="R24" s="409">
        <v>1</v>
      </c>
      <c r="S24" s="727" t="s">
        <v>93</v>
      </c>
      <c r="T24" s="728"/>
      <c r="U24" s="838"/>
      <c r="V24" s="765"/>
      <c r="W24" s="838"/>
      <c r="X24" s="838"/>
      <c r="Y24" s="838"/>
      <c r="Z24" s="838"/>
      <c r="AA24" s="838"/>
      <c r="AB24" s="838"/>
      <c r="AC24" s="838"/>
      <c r="AD24" s="839"/>
      <c r="AE24" s="840"/>
      <c r="AF24" s="840"/>
      <c r="AG24" s="839"/>
      <c r="AH24" s="838"/>
      <c r="AI24" s="839"/>
      <c r="AJ24" s="839"/>
      <c r="AK24" s="839"/>
      <c r="AL24" s="838"/>
      <c r="AM24" s="838"/>
      <c r="AN24" s="838"/>
      <c r="AO24" s="833"/>
      <c r="AP24" s="834"/>
    </row>
    <row r="25" s="694" customFormat="1" ht="12" customHeight="1" spans="1:42">
      <c r="A25" s="753"/>
      <c r="B25" s="725"/>
      <c r="C25" s="725"/>
      <c r="D25" s="712"/>
      <c r="E25" s="835"/>
      <c r="F25" s="841"/>
      <c r="G25" s="842"/>
      <c r="H25" s="843"/>
      <c r="I25" s="844" t="s">
        <v>554</v>
      </c>
      <c r="J25" s="712" t="s">
        <v>555</v>
      </c>
      <c r="K25" s="712" t="s">
        <v>556</v>
      </c>
      <c r="L25" s="725" t="s">
        <v>557</v>
      </c>
      <c r="M25" s="712" t="s">
        <v>193</v>
      </c>
      <c r="N25" s="712" t="s">
        <v>193</v>
      </c>
      <c r="O25" s="409" t="s">
        <v>470</v>
      </c>
      <c r="P25" s="409" t="s">
        <v>193</v>
      </c>
      <c r="Q25" s="409" t="s">
        <v>193</v>
      </c>
      <c r="R25" s="409" t="s">
        <v>193</v>
      </c>
      <c r="S25" s="727" t="s">
        <v>91</v>
      </c>
      <c r="T25" s="728"/>
      <c r="U25" s="845"/>
      <c r="V25" s="794"/>
      <c r="W25" s="845"/>
      <c r="X25" s="845"/>
      <c r="Y25" s="845"/>
      <c r="Z25" s="845"/>
      <c r="AA25" s="845"/>
      <c r="AB25" s="845"/>
      <c r="AC25" s="845"/>
      <c r="AD25" s="795"/>
      <c r="AE25" s="846"/>
      <c r="AF25" s="846"/>
      <c r="AG25" s="795"/>
      <c r="AH25" s="845"/>
      <c r="AI25" s="795"/>
      <c r="AJ25" s="795"/>
      <c r="AK25" s="795"/>
      <c r="AL25" s="845"/>
      <c r="AM25" s="845"/>
      <c r="AN25" s="845"/>
      <c r="AO25" s="833"/>
      <c r="AP25" s="834"/>
    </row>
    <row r="26" s="692" customFormat="1" ht="130.5" spans="1:42">
      <c r="A26" s="753">
        <v>14</v>
      </c>
      <c r="B26" s="409" t="s">
        <v>558</v>
      </c>
      <c r="C26" s="724" t="s">
        <v>559</v>
      </c>
      <c r="D26" s="724" t="s">
        <v>560</v>
      </c>
      <c r="E26" s="724" t="s">
        <v>282</v>
      </c>
      <c r="F26" s="771" t="s">
        <v>266</v>
      </c>
      <c r="G26" s="847" t="s">
        <v>476</v>
      </c>
      <c r="H26" s="848">
        <v>6</v>
      </c>
      <c r="I26" s="849" t="s">
        <v>469</v>
      </c>
      <c r="J26" s="849" t="s">
        <v>469</v>
      </c>
      <c r="K26" s="724" t="s">
        <v>559</v>
      </c>
      <c r="L26" s="724" t="s">
        <v>560</v>
      </c>
      <c r="M26" s="712" t="s">
        <v>193</v>
      </c>
      <c r="N26" s="712" t="s">
        <v>193</v>
      </c>
      <c r="O26" s="409" t="s">
        <v>470</v>
      </c>
      <c r="P26" s="725" t="s">
        <v>193</v>
      </c>
      <c r="Q26" s="725" t="s">
        <v>193</v>
      </c>
      <c r="R26" s="726" t="s">
        <v>561</v>
      </c>
      <c r="S26" s="727" t="s">
        <v>91</v>
      </c>
      <c r="T26" s="736" t="s">
        <v>520</v>
      </c>
      <c r="U26" s="850" t="s">
        <v>266</v>
      </c>
      <c r="V26" s="851" t="s">
        <v>272</v>
      </c>
      <c r="W26" s="850" t="s">
        <v>266</v>
      </c>
      <c r="X26" s="850" t="s">
        <v>266</v>
      </c>
      <c r="Y26" s="850" t="s">
        <v>266</v>
      </c>
      <c r="Z26" s="850" t="s">
        <v>266</v>
      </c>
      <c r="AA26" s="850" t="s">
        <v>266</v>
      </c>
      <c r="AB26" s="850" t="s">
        <v>266</v>
      </c>
      <c r="AC26" s="850" t="s">
        <v>266</v>
      </c>
      <c r="AD26" s="775" t="s">
        <v>272</v>
      </c>
      <c r="AE26" s="851" t="s">
        <v>272</v>
      </c>
      <c r="AF26" s="776" t="s">
        <v>272</v>
      </c>
      <c r="AG26" s="775" t="s">
        <v>272</v>
      </c>
      <c r="AH26" s="775" t="s">
        <v>272</v>
      </c>
      <c r="AI26" s="775" t="s">
        <v>272</v>
      </c>
      <c r="AJ26" s="775" t="s">
        <v>272</v>
      </c>
      <c r="AK26" s="776" t="s">
        <v>272</v>
      </c>
      <c r="AL26" s="775" t="s">
        <v>272</v>
      </c>
      <c r="AM26" s="850" t="s">
        <v>266</v>
      </c>
      <c r="AN26" s="850" t="s">
        <v>266</v>
      </c>
      <c r="AO26" s="852" t="s">
        <v>562</v>
      </c>
    </row>
    <row r="27" s="692" customFormat="1" ht="159.5" spans="1:42">
      <c r="A27" s="853">
        <v>15</v>
      </c>
      <c r="B27" s="409" t="s">
        <v>563</v>
      </c>
      <c r="C27" s="724" t="s">
        <v>564</v>
      </c>
      <c r="D27" s="724" t="s">
        <v>565</v>
      </c>
      <c r="E27" s="724" t="s">
        <v>282</v>
      </c>
      <c r="F27" s="771" t="s">
        <v>266</v>
      </c>
      <c r="G27" s="721" t="s">
        <v>476</v>
      </c>
      <c r="H27" s="848">
        <v>6</v>
      </c>
      <c r="I27" s="849" t="s">
        <v>469</v>
      </c>
      <c r="J27" s="849" t="s">
        <v>469</v>
      </c>
      <c r="K27" s="724" t="s">
        <v>564</v>
      </c>
      <c r="L27" s="724" t="s">
        <v>565</v>
      </c>
      <c r="M27" s="712" t="s">
        <v>193</v>
      </c>
      <c r="N27" s="712" t="s">
        <v>193</v>
      </c>
      <c r="O27" s="409" t="s">
        <v>470</v>
      </c>
      <c r="P27" s="725" t="s">
        <v>193</v>
      </c>
      <c r="Q27" s="725" t="s">
        <v>193</v>
      </c>
      <c r="R27" s="726" t="s">
        <v>566</v>
      </c>
      <c r="S27" s="727" t="s">
        <v>91</v>
      </c>
      <c r="T27" s="744" t="s">
        <v>471</v>
      </c>
      <c r="U27" s="850" t="s">
        <v>266</v>
      </c>
      <c r="V27" s="851" t="s">
        <v>272</v>
      </c>
      <c r="W27" s="850" t="s">
        <v>266</v>
      </c>
      <c r="X27" s="850" t="s">
        <v>266</v>
      </c>
      <c r="Y27" s="850" t="s">
        <v>266</v>
      </c>
      <c r="Z27" s="850" t="s">
        <v>266</v>
      </c>
      <c r="AA27" s="850" t="s">
        <v>266</v>
      </c>
      <c r="AB27" s="850" t="s">
        <v>266</v>
      </c>
      <c r="AC27" s="850" t="s">
        <v>266</v>
      </c>
      <c r="AD27" s="775" t="s">
        <v>272</v>
      </c>
      <c r="AE27" s="851" t="s">
        <v>272</v>
      </c>
      <c r="AF27" s="775" t="s">
        <v>272</v>
      </c>
      <c r="AG27" s="775" t="s">
        <v>272</v>
      </c>
      <c r="AH27" s="775" t="s">
        <v>272</v>
      </c>
      <c r="AI27" s="775" t="s">
        <v>272</v>
      </c>
      <c r="AJ27" s="775" t="s">
        <v>272</v>
      </c>
      <c r="AK27" s="775" t="s">
        <v>272</v>
      </c>
      <c r="AL27" s="775" t="s">
        <v>272</v>
      </c>
      <c r="AM27" s="850" t="s">
        <v>266</v>
      </c>
      <c r="AN27" s="850" t="s">
        <v>266</v>
      </c>
      <c r="AO27" s="852" t="s">
        <v>567</v>
      </c>
    </row>
    <row r="28" s="692" customFormat="1" ht="27.65" customHeight="1" spans="1:42">
      <c r="A28" s="753">
        <v>16</v>
      </c>
      <c r="B28" s="409" t="s">
        <v>568</v>
      </c>
      <c r="C28" s="724" t="s">
        <v>569</v>
      </c>
      <c r="D28" s="724" t="s">
        <v>570</v>
      </c>
      <c r="E28" s="724" t="s">
        <v>265</v>
      </c>
      <c r="F28" s="771" t="s">
        <v>266</v>
      </c>
      <c r="G28" s="721" t="s">
        <v>476</v>
      </c>
      <c r="H28" s="854">
        <v>10</v>
      </c>
      <c r="I28" s="849" t="s">
        <v>469</v>
      </c>
      <c r="J28" s="849" t="s">
        <v>469</v>
      </c>
      <c r="K28" s="724" t="s">
        <v>569</v>
      </c>
      <c r="L28" s="724" t="s">
        <v>570</v>
      </c>
      <c r="M28" s="712" t="s">
        <v>193</v>
      </c>
      <c r="N28" s="712" t="s">
        <v>193</v>
      </c>
      <c r="O28" s="409" t="s">
        <v>470</v>
      </c>
      <c r="P28" s="725" t="s">
        <v>193</v>
      </c>
      <c r="Q28" s="725" t="s">
        <v>193</v>
      </c>
      <c r="R28" s="726" t="s">
        <v>571</v>
      </c>
      <c r="S28" s="727" t="s">
        <v>91</v>
      </c>
      <c r="T28" s="728" t="s">
        <v>471</v>
      </c>
      <c r="U28" s="850" t="s">
        <v>266</v>
      </c>
      <c r="V28" s="851" t="s">
        <v>272</v>
      </c>
      <c r="W28" s="850" t="s">
        <v>266</v>
      </c>
      <c r="X28" s="850" t="s">
        <v>266</v>
      </c>
      <c r="Y28" s="850" t="s">
        <v>266</v>
      </c>
      <c r="Z28" s="850" t="s">
        <v>266</v>
      </c>
      <c r="AA28" s="850" t="s">
        <v>266</v>
      </c>
      <c r="AB28" s="850" t="s">
        <v>266</v>
      </c>
      <c r="AC28" s="850" t="s">
        <v>266</v>
      </c>
      <c r="AD28" s="775" t="s">
        <v>272</v>
      </c>
      <c r="AE28" s="851" t="s">
        <v>272</v>
      </c>
      <c r="AF28" s="775" t="s">
        <v>272</v>
      </c>
      <c r="AG28" s="775" t="s">
        <v>272</v>
      </c>
      <c r="AH28" s="775" t="s">
        <v>272</v>
      </c>
      <c r="AI28" s="775" t="s">
        <v>272</v>
      </c>
      <c r="AJ28" s="775" t="s">
        <v>272</v>
      </c>
      <c r="AK28" s="775" t="s">
        <v>272</v>
      </c>
      <c r="AL28" s="775" t="s">
        <v>272</v>
      </c>
      <c r="AM28" s="850" t="s">
        <v>266</v>
      </c>
      <c r="AN28" s="850" t="s">
        <v>266</v>
      </c>
      <c r="AO28" s="855" t="s">
        <v>572</v>
      </c>
    </row>
    <row r="29" s="695" customFormat="1" ht="27.65" customHeight="1" spans="1:42">
      <c r="A29" s="705">
        <v>17</v>
      </c>
      <c r="B29" s="706" t="s">
        <v>573</v>
      </c>
      <c r="C29" s="706" t="s">
        <v>574</v>
      </c>
      <c r="D29" s="706" t="s">
        <v>575</v>
      </c>
      <c r="E29" s="706" t="s">
        <v>282</v>
      </c>
      <c r="F29" s="771" t="s">
        <v>266</v>
      </c>
      <c r="G29" s="847" t="s">
        <v>476</v>
      </c>
      <c r="H29" s="709">
        <v>4</v>
      </c>
      <c r="I29" s="856" t="s">
        <v>469</v>
      </c>
      <c r="J29" s="856" t="s">
        <v>469</v>
      </c>
      <c r="K29" s="857" t="s">
        <v>574</v>
      </c>
      <c r="L29" s="857" t="s">
        <v>575</v>
      </c>
      <c r="M29" s="712" t="s">
        <v>193</v>
      </c>
      <c r="N29" s="712" t="s">
        <v>193</v>
      </c>
      <c r="O29" s="409" t="s">
        <v>470</v>
      </c>
      <c r="P29" s="725" t="s">
        <v>193</v>
      </c>
      <c r="Q29" s="725" t="s">
        <v>193</v>
      </c>
      <c r="R29" s="858" t="s">
        <v>193</v>
      </c>
      <c r="S29" s="852" t="s">
        <v>91</v>
      </c>
      <c r="T29" s="859" t="s">
        <v>520</v>
      </c>
      <c r="U29" s="850" t="s">
        <v>266</v>
      </c>
      <c r="V29" s="860" t="s">
        <v>272</v>
      </c>
      <c r="W29" s="850" t="s">
        <v>266</v>
      </c>
      <c r="X29" s="776" t="s">
        <v>272</v>
      </c>
      <c r="Y29" s="776" t="s">
        <v>272</v>
      </c>
      <c r="Z29" s="776" t="s">
        <v>272</v>
      </c>
      <c r="AA29" s="850" t="s">
        <v>266</v>
      </c>
      <c r="AB29" s="850" t="s">
        <v>266</v>
      </c>
      <c r="AC29" s="850" t="s">
        <v>272</v>
      </c>
      <c r="AD29" s="775" t="s">
        <v>272</v>
      </c>
      <c r="AE29" s="860" t="s">
        <v>272</v>
      </c>
      <c r="AF29" s="775" t="s">
        <v>272</v>
      </c>
      <c r="AG29" s="775" t="s">
        <v>272</v>
      </c>
      <c r="AH29" s="775" t="s">
        <v>272</v>
      </c>
      <c r="AI29" s="775" t="s">
        <v>272</v>
      </c>
      <c r="AJ29" s="775" t="s">
        <v>272</v>
      </c>
      <c r="AK29" s="775" t="s">
        <v>272</v>
      </c>
      <c r="AL29" s="775" t="s">
        <v>272</v>
      </c>
      <c r="AM29" s="850" t="s">
        <v>266</v>
      </c>
      <c r="AN29" s="850" t="s">
        <v>266</v>
      </c>
      <c r="AO29" s="861" t="s">
        <v>576</v>
      </c>
    </row>
    <row r="30" s="692" customFormat="1" ht="14.15" customHeight="1" spans="1:42">
      <c r="A30" s="797">
        <v>18</v>
      </c>
      <c r="B30" s="759" t="s">
        <v>577</v>
      </c>
      <c r="C30" s="759" t="s">
        <v>578</v>
      </c>
      <c r="D30" s="759" t="s">
        <v>579</v>
      </c>
      <c r="E30" s="759" t="s">
        <v>282</v>
      </c>
      <c r="F30" s="862" t="s">
        <v>266</v>
      </c>
      <c r="G30" s="863" t="s">
        <v>476</v>
      </c>
      <c r="H30" s="864">
        <v>30</v>
      </c>
      <c r="I30" s="710" t="s">
        <v>580</v>
      </c>
      <c r="J30" s="710" t="s">
        <v>581</v>
      </c>
      <c r="K30" s="865" t="s">
        <v>582</v>
      </c>
      <c r="L30" s="865" t="s">
        <v>583</v>
      </c>
      <c r="M30" s="722" t="s">
        <v>193</v>
      </c>
      <c r="N30" s="722" t="s">
        <v>193</v>
      </c>
      <c r="O30" s="866" t="s">
        <v>470</v>
      </c>
      <c r="P30" s="725" t="s">
        <v>193</v>
      </c>
      <c r="Q30" s="725" t="s">
        <v>193</v>
      </c>
      <c r="R30" s="867" t="s">
        <v>193</v>
      </c>
      <c r="S30" s="852" t="s">
        <v>91</v>
      </c>
      <c r="T30" s="785" t="s">
        <v>520</v>
      </c>
      <c r="U30" s="831" t="s">
        <v>266</v>
      </c>
      <c r="V30" s="868" t="s">
        <v>272</v>
      </c>
      <c r="W30" s="831" t="s">
        <v>266</v>
      </c>
      <c r="X30" s="869" t="s">
        <v>272</v>
      </c>
      <c r="Y30" s="869" t="s">
        <v>272</v>
      </c>
      <c r="Z30" s="869" t="s">
        <v>272</v>
      </c>
      <c r="AA30" s="831" t="s">
        <v>266</v>
      </c>
      <c r="AB30" s="831" t="s">
        <v>266</v>
      </c>
      <c r="AC30" s="831" t="s">
        <v>272</v>
      </c>
      <c r="AD30" s="786" t="s">
        <v>272</v>
      </c>
      <c r="AE30" s="868" t="s">
        <v>272</v>
      </c>
      <c r="AF30" s="786" t="s">
        <v>272</v>
      </c>
      <c r="AG30" s="786" t="s">
        <v>272</v>
      </c>
      <c r="AH30" s="786" t="s">
        <v>272</v>
      </c>
      <c r="AI30" s="786" t="s">
        <v>272</v>
      </c>
      <c r="AJ30" s="786" t="s">
        <v>272</v>
      </c>
      <c r="AK30" s="786" t="s">
        <v>272</v>
      </c>
      <c r="AL30" s="786" t="s">
        <v>272</v>
      </c>
      <c r="AM30" s="831" t="s">
        <v>266</v>
      </c>
      <c r="AN30" s="831" t="s">
        <v>266</v>
      </c>
      <c r="AO30" s="733" t="s">
        <v>584</v>
      </c>
      <c r="AP30" s="870" t="s">
        <v>585</v>
      </c>
    </row>
    <row r="31" s="692" customFormat="1" ht="12" customHeight="1" spans="1:42">
      <c r="A31" s="871"/>
      <c r="B31" s="872"/>
      <c r="C31" s="872"/>
      <c r="D31" s="872"/>
      <c r="E31" s="872"/>
      <c r="F31" s="873"/>
      <c r="G31" s="874"/>
      <c r="H31" s="875"/>
      <c r="I31" s="710" t="s">
        <v>586</v>
      </c>
      <c r="J31" s="710" t="s">
        <v>581</v>
      </c>
      <c r="K31" s="865" t="s">
        <v>587</v>
      </c>
      <c r="L31" s="865" t="s">
        <v>588</v>
      </c>
      <c r="M31" s="722"/>
      <c r="N31" s="722"/>
      <c r="O31" s="866" t="s">
        <v>470</v>
      </c>
      <c r="P31" s="876"/>
      <c r="Q31" s="876"/>
      <c r="R31" s="867"/>
      <c r="S31" s="877" t="s">
        <v>91</v>
      </c>
      <c r="T31" s="878"/>
      <c r="U31" s="838"/>
      <c r="V31" s="879"/>
      <c r="W31" s="838"/>
      <c r="X31" s="880"/>
      <c r="Y31" s="880"/>
      <c r="Z31" s="880"/>
      <c r="AA31" s="838"/>
      <c r="AB31" s="838"/>
      <c r="AC31" s="838"/>
      <c r="AD31" s="839"/>
      <c r="AE31" s="879"/>
      <c r="AF31" s="839"/>
      <c r="AG31" s="839"/>
      <c r="AH31" s="839"/>
      <c r="AI31" s="839"/>
      <c r="AJ31" s="839"/>
      <c r="AK31" s="839"/>
      <c r="AL31" s="839"/>
      <c r="AM31" s="838"/>
      <c r="AN31" s="838"/>
      <c r="AO31" s="881"/>
      <c r="AP31" s="870"/>
    </row>
    <row r="32" s="692" customFormat="1" ht="12" customHeight="1" spans="1:42">
      <c r="A32" s="871"/>
      <c r="B32" s="872"/>
      <c r="C32" s="872"/>
      <c r="D32" s="872"/>
      <c r="E32" s="872"/>
      <c r="F32" s="873"/>
      <c r="G32" s="874"/>
      <c r="H32" s="875"/>
      <c r="I32" s="710" t="s">
        <v>589</v>
      </c>
      <c r="J32" s="710" t="s">
        <v>590</v>
      </c>
      <c r="K32" s="865" t="s">
        <v>591</v>
      </c>
      <c r="L32" s="865" t="s">
        <v>570</v>
      </c>
      <c r="M32" s="722"/>
      <c r="N32" s="722"/>
      <c r="O32" s="866" t="s">
        <v>470</v>
      </c>
      <c r="P32" s="876"/>
      <c r="Q32" s="876"/>
      <c r="R32" s="867"/>
      <c r="S32" s="882" t="s">
        <v>91</v>
      </c>
      <c r="T32" s="878"/>
      <c r="U32" s="838"/>
      <c r="V32" s="879"/>
      <c r="W32" s="838"/>
      <c r="X32" s="880"/>
      <c r="Y32" s="880"/>
      <c r="Z32" s="880"/>
      <c r="AA32" s="838"/>
      <c r="AB32" s="838"/>
      <c r="AC32" s="838"/>
      <c r="AD32" s="839"/>
      <c r="AE32" s="879"/>
      <c r="AF32" s="839"/>
      <c r="AG32" s="839"/>
      <c r="AH32" s="839"/>
      <c r="AI32" s="839"/>
      <c r="AJ32" s="839"/>
      <c r="AK32" s="839"/>
      <c r="AL32" s="839"/>
      <c r="AM32" s="838"/>
      <c r="AN32" s="838"/>
      <c r="AO32" s="881"/>
      <c r="AP32" s="870"/>
    </row>
    <row r="33" s="692" customFormat="1" ht="28.4" customHeight="1" spans="1:42">
      <c r="A33" s="871"/>
      <c r="B33" s="872"/>
      <c r="C33" s="872"/>
      <c r="D33" s="872"/>
      <c r="E33" s="872"/>
      <c r="F33" s="873"/>
      <c r="G33" s="874"/>
      <c r="H33" s="883"/>
      <c r="I33" s="710" t="s">
        <v>592</v>
      </c>
      <c r="J33" s="710" t="s">
        <v>555</v>
      </c>
      <c r="K33" s="884" t="s">
        <v>593</v>
      </c>
      <c r="L33" s="865" t="s">
        <v>594</v>
      </c>
      <c r="M33" s="722" t="s">
        <v>193</v>
      </c>
      <c r="N33" s="722" t="s">
        <v>193</v>
      </c>
      <c r="O33" s="866" t="s">
        <v>470</v>
      </c>
      <c r="P33" s="876" t="s">
        <v>193</v>
      </c>
      <c r="Q33" s="876" t="s">
        <v>193</v>
      </c>
      <c r="R33" s="867" t="s">
        <v>193</v>
      </c>
      <c r="S33" s="882" t="s">
        <v>91</v>
      </c>
      <c r="T33" s="878"/>
      <c r="U33" s="838"/>
      <c r="V33" s="879"/>
      <c r="W33" s="838"/>
      <c r="X33" s="880"/>
      <c r="Y33" s="880"/>
      <c r="Z33" s="880"/>
      <c r="AA33" s="838"/>
      <c r="AB33" s="838"/>
      <c r="AC33" s="838"/>
      <c r="AD33" s="839"/>
      <c r="AE33" s="879"/>
      <c r="AF33" s="839"/>
      <c r="AG33" s="839"/>
      <c r="AH33" s="839"/>
      <c r="AI33" s="839"/>
      <c r="AJ33" s="839"/>
      <c r="AK33" s="839"/>
      <c r="AL33" s="839"/>
      <c r="AM33" s="838"/>
      <c r="AN33" s="838"/>
      <c r="AO33" s="881"/>
      <c r="AP33" s="870"/>
    </row>
    <row r="34" s="692" customFormat="1" ht="29" spans="1:42">
      <c r="A34" s="770">
        <v>19</v>
      </c>
      <c r="B34" s="707" t="s">
        <v>595</v>
      </c>
      <c r="C34" s="707" t="s">
        <v>596</v>
      </c>
      <c r="D34" s="707" t="s">
        <v>597</v>
      </c>
      <c r="E34" s="707" t="s">
        <v>265</v>
      </c>
      <c r="F34" s="771" t="s">
        <v>266</v>
      </c>
      <c r="G34" s="721" t="s">
        <v>467</v>
      </c>
      <c r="H34" s="773">
        <v>17</v>
      </c>
      <c r="I34" s="849" t="s">
        <v>469</v>
      </c>
      <c r="J34" s="849" t="s">
        <v>469</v>
      </c>
      <c r="K34" s="724" t="s">
        <v>596</v>
      </c>
      <c r="L34" s="724" t="s">
        <v>597</v>
      </c>
      <c r="M34" s="712" t="s">
        <v>193</v>
      </c>
      <c r="N34" s="712" t="s">
        <v>193</v>
      </c>
      <c r="O34" s="409" t="s">
        <v>470</v>
      </c>
      <c r="P34" s="725" t="s">
        <v>193</v>
      </c>
      <c r="Q34" s="725" t="s">
        <v>193</v>
      </c>
      <c r="R34" s="725" t="s">
        <v>193</v>
      </c>
      <c r="S34" s="727" t="s">
        <v>91</v>
      </c>
      <c r="T34" s="728" t="s">
        <v>520</v>
      </c>
      <c r="U34" s="850" t="s">
        <v>266</v>
      </c>
      <c r="V34" s="851" t="s">
        <v>272</v>
      </c>
      <c r="W34" s="850" t="s">
        <v>266</v>
      </c>
      <c r="X34" s="850" t="s">
        <v>266</v>
      </c>
      <c r="Y34" s="850" t="s">
        <v>266</v>
      </c>
      <c r="Z34" s="850" t="s">
        <v>266</v>
      </c>
      <c r="AA34" s="850" t="s">
        <v>266</v>
      </c>
      <c r="AB34" s="850" t="s">
        <v>266</v>
      </c>
      <c r="AC34" s="850" t="s">
        <v>266</v>
      </c>
      <c r="AD34" s="775" t="s">
        <v>272</v>
      </c>
      <c r="AE34" s="851" t="s">
        <v>272</v>
      </c>
      <c r="AF34" s="850" t="s">
        <v>266</v>
      </c>
      <c r="AG34" s="775" t="s">
        <v>272</v>
      </c>
      <c r="AH34" s="775" t="s">
        <v>272</v>
      </c>
      <c r="AI34" s="775" t="s">
        <v>272</v>
      </c>
      <c r="AJ34" s="775" t="s">
        <v>272</v>
      </c>
      <c r="AK34" s="776" t="s">
        <v>266</v>
      </c>
      <c r="AL34" s="775" t="s">
        <v>272</v>
      </c>
      <c r="AM34" s="850" t="s">
        <v>266</v>
      </c>
      <c r="AN34" s="850" t="s">
        <v>266</v>
      </c>
      <c r="AO34" s="885" t="s">
        <v>598</v>
      </c>
    </row>
    <row r="35" s="692" customFormat="1" ht="26" spans="1:42">
      <c r="A35" s="770">
        <v>20</v>
      </c>
      <c r="B35" s="706" t="s">
        <v>599</v>
      </c>
      <c r="C35" s="707" t="s">
        <v>600</v>
      </c>
      <c r="D35" s="707" t="s">
        <v>601</v>
      </c>
      <c r="E35" s="886" t="s">
        <v>282</v>
      </c>
      <c r="F35" s="887" t="s">
        <v>272</v>
      </c>
      <c r="G35" s="721" t="s">
        <v>476</v>
      </c>
      <c r="H35" s="722">
        <v>1</v>
      </c>
      <c r="I35" s="713">
        <v>0</v>
      </c>
      <c r="J35" s="888" t="s">
        <v>540</v>
      </c>
      <c r="K35" s="707" t="s">
        <v>600</v>
      </c>
      <c r="L35" s="724" t="s">
        <v>601</v>
      </c>
      <c r="M35" s="712" t="s">
        <v>193</v>
      </c>
      <c r="N35" s="712" t="s">
        <v>193</v>
      </c>
      <c r="O35" s="409" t="s">
        <v>470</v>
      </c>
      <c r="P35" s="889" t="s">
        <v>602</v>
      </c>
      <c r="Q35" s="889" t="s">
        <v>603</v>
      </c>
      <c r="R35" s="890"/>
      <c r="S35" s="727" t="s">
        <v>604</v>
      </c>
      <c r="T35" s="891" t="s">
        <v>520</v>
      </c>
      <c r="U35" s="892" t="s">
        <v>266</v>
      </c>
      <c r="V35" s="851" t="s">
        <v>272</v>
      </c>
      <c r="W35" s="714" t="s">
        <v>266</v>
      </c>
      <c r="X35" s="714" t="s">
        <v>266</v>
      </c>
      <c r="Y35" s="714" t="s">
        <v>266</v>
      </c>
      <c r="Z35" s="714" t="s">
        <v>266</v>
      </c>
      <c r="AA35" s="714" t="s">
        <v>266</v>
      </c>
      <c r="AB35" s="714" t="s">
        <v>266</v>
      </c>
      <c r="AC35" s="714" t="s">
        <v>266</v>
      </c>
      <c r="AD35" s="714" t="s">
        <v>272</v>
      </c>
      <c r="AE35" s="851" t="s">
        <v>272</v>
      </c>
      <c r="AF35" s="892" t="s">
        <v>272</v>
      </c>
      <c r="AG35" s="892" t="s">
        <v>272</v>
      </c>
      <c r="AH35" s="892" t="s">
        <v>272</v>
      </c>
      <c r="AI35" s="892" t="s">
        <v>272</v>
      </c>
      <c r="AJ35" s="892" t="s">
        <v>272</v>
      </c>
      <c r="AK35" s="892" t="s">
        <v>272</v>
      </c>
      <c r="AL35" s="892" t="s">
        <v>272</v>
      </c>
      <c r="AM35" s="892" t="s">
        <v>266</v>
      </c>
      <c r="AN35" s="746" t="s">
        <v>266</v>
      </c>
      <c r="AO35" s="777" t="s">
        <v>545</v>
      </c>
      <c r="AP35" s="694" t="s">
        <v>546</v>
      </c>
    </row>
    <row r="36" s="694" customFormat="1" ht="26" spans="1:42">
      <c r="A36" s="719">
        <v>21</v>
      </c>
      <c r="B36" s="706" t="s">
        <v>605</v>
      </c>
      <c r="C36" s="893" t="s">
        <v>606</v>
      </c>
      <c r="D36" s="893" t="s">
        <v>607</v>
      </c>
      <c r="E36" s="707" t="s">
        <v>282</v>
      </c>
      <c r="F36" s="887" t="s">
        <v>272</v>
      </c>
      <c r="G36" s="721" t="s">
        <v>476</v>
      </c>
      <c r="H36" s="773">
        <v>1</v>
      </c>
      <c r="I36" s="727">
        <v>0</v>
      </c>
      <c r="J36" s="411" t="s">
        <v>540</v>
      </c>
      <c r="K36" s="893" t="s">
        <v>606</v>
      </c>
      <c r="L36" s="893" t="s">
        <v>607</v>
      </c>
      <c r="M36" s="712" t="s">
        <v>193</v>
      </c>
      <c r="N36" s="712" t="s">
        <v>193</v>
      </c>
      <c r="O36" s="409" t="s">
        <v>470</v>
      </c>
      <c r="P36" s="889" t="s">
        <v>602</v>
      </c>
      <c r="Q36" s="889" t="s">
        <v>603</v>
      </c>
      <c r="R36" s="890"/>
      <c r="S36" s="727" t="s">
        <v>604</v>
      </c>
      <c r="T36" s="891" t="s">
        <v>520</v>
      </c>
      <c r="U36" s="892" t="s">
        <v>266</v>
      </c>
      <c r="V36" s="851" t="s">
        <v>272</v>
      </c>
      <c r="W36" s="714" t="s">
        <v>266</v>
      </c>
      <c r="X36" s="714" t="s">
        <v>266</v>
      </c>
      <c r="Y36" s="714" t="s">
        <v>266</v>
      </c>
      <c r="Z36" s="714" t="s">
        <v>266</v>
      </c>
      <c r="AA36" s="714" t="s">
        <v>266</v>
      </c>
      <c r="AB36" s="714" t="s">
        <v>266</v>
      </c>
      <c r="AC36" s="714" t="s">
        <v>266</v>
      </c>
      <c r="AD36" s="714" t="s">
        <v>272</v>
      </c>
      <c r="AE36" s="851" t="s">
        <v>272</v>
      </c>
      <c r="AF36" s="892" t="s">
        <v>272</v>
      </c>
      <c r="AG36" s="892" t="s">
        <v>272</v>
      </c>
      <c r="AH36" s="892" t="s">
        <v>272</v>
      </c>
      <c r="AI36" s="892" t="s">
        <v>272</v>
      </c>
      <c r="AJ36" s="892" t="s">
        <v>272</v>
      </c>
      <c r="AK36" s="892" t="s">
        <v>272</v>
      </c>
      <c r="AL36" s="892" t="s">
        <v>272</v>
      </c>
      <c r="AM36" s="892" t="s">
        <v>266</v>
      </c>
      <c r="AN36" s="746" t="s">
        <v>266</v>
      </c>
      <c r="AO36" s="777" t="s">
        <v>545</v>
      </c>
    </row>
    <row r="37" s="692" customFormat="1" ht="91" spans="1:42">
      <c r="A37" s="731">
        <v>22</v>
      </c>
      <c r="B37" s="819" t="s">
        <v>608</v>
      </c>
      <c r="C37" s="740" t="s">
        <v>609</v>
      </c>
      <c r="D37" s="740" t="s">
        <v>610</v>
      </c>
      <c r="E37" s="740" t="s">
        <v>265</v>
      </c>
      <c r="F37" s="745" t="s">
        <v>272</v>
      </c>
      <c r="G37" s="732" t="s">
        <v>476</v>
      </c>
      <c r="H37" s="747">
        <v>2</v>
      </c>
      <c r="I37" s="727">
        <v>0</v>
      </c>
      <c r="J37" s="411" t="s">
        <v>540</v>
      </c>
      <c r="K37" s="465" t="s">
        <v>611</v>
      </c>
      <c r="L37" s="465" t="s">
        <v>612</v>
      </c>
      <c r="M37" s="712" t="s">
        <v>193</v>
      </c>
      <c r="N37" s="712" t="s">
        <v>193</v>
      </c>
      <c r="O37" s="409" t="s">
        <v>470</v>
      </c>
      <c r="P37" s="724" t="s">
        <v>613</v>
      </c>
      <c r="Q37" s="724" t="s">
        <v>614</v>
      </c>
      <c r="R37" s="725" t="s">
        <v>193</v>
      </c>
      <c r="S37" s="727" t="s">
        <v>604</v>
      </c>
      <c r="T37" s="891" t="s">
        <v>520</v>
      </c>
      <c r="U37" s="747" t="s">
        <v>266</v>
      </c>
      <c r="V37" s="868" t="s">
        <v>272</v>
      </c>
      <c r="W37" s="894" t="s">
        <v>266</v>
      </c>
      <c r="X37" s="894" t="s">
        <v>266</v>
      </c>
      <c r="Y37" s="894" t="s">
        <v>266</v>
      </c>
      <c r="Z37" s="894" t="s">
        <v>266</v>
      </c>
      <c r="AA37" s="894" t="s">
        <v>266</v>
      </c>
      <c r="AB37" s="894" t="s">
        <v>266</v>
      </c>
      <c r="AC37" s="894" t="s">
        <v>266</v>
      </c>
      <c r="AD37" s="894" t="s">
        <v>272</v>
      </c>
      <c r="AE37" s="868" t="s">
        <v>272</v>
      </c>
      <c r="AF37" s="747" t="s">
        <v>272</v>
      </c>
      <c r="AG37" s="747" t="s">
        <v>272</v>
      </c>
      <c r="AH37" s="747" t="s">
        <v>272</v>
      </c>
      <c r="AI37" s="747" t="s">
        <v>272</v>
      </c>
      <c r="AJ37" s="747" t="s">
        <v>272</v>
      </c>
      <c r="AK37" s="747" t="s">
        <v>272</v>
      </c>
      <c r="AL37" s="747" t="s">
        <v>272</v>
      </c>
      <c r="AM37" s="747" t="s">
        <v>266</v>
      </c>
      <c r="AN37" s="733" t="s">
        <v>266</v>
      </c>
      <c r="AO37" s="807" t="s">
        <v>545</v>
      </c>
      <c r="AP37" s="694" t="s">
        <v>546</v>
      </c>
    </row>
    <row r="38" s="692" customFormat="1" ht="39" spans="1:42">
      <c r="A38" s="895"/>
      <c r="B38" s="821"/>
      <c r="C38" s="896"/>
      <c r="D38" s="896"/>
      <c r="E38" s="896"/>
      <c r="F38" s="822"/>
      <c r="G38" s="790"/>
      <c r="H38" s="824"/>
      <c r="I38" s="727">
        <v>1</v>
      </c>
      <c r="J38" s="411" t="s">
        <v>615</v>
      </c>
      <c r="K38" s="897" t="s">
        <v>616</v>
      </c>
      <c r="L38" s="465" t="s">
        <v>617</v>
      </c>
      <c r="M38" s="411" t="s">
        <v>618</v>
      </c>
      <c r="N38" s="411">
        <v>100</v>
      </c>
      <c r="O38" s="409" t="s">
        <v>619</v>
      </c>
      <c r="P38" s="889" t="s">
        <v>550</v>
      </c>
      <c r="Q38" s="889" t="s">
        <v>550</v>
      </c>
      <c r="R38" s="409">
        <v>0</v>
      </c>
      <c r="S38" s="411" t="s">
        <v>93</v>
      </c>
      <c r="T38" s="891" t="s">
        <v>520</v>
      </c>
      <c r="U38" s="824"/>
      <c r="V38" s="898"/>
      <c r="W38" s="899"/>
      <c r="X38" s="899"/>
      <c r="Y38" s="899"/>
      <c r="Z38" s="899"/>
      <c r="AA38" s="899"/>
      <c r="AB38" s="899"/>
      <c r="AC38" s="899"/>
      <c r="AD38" s="899"/>
      <c r="AE38" s="898"/>
      <c r="AF38" s="824"/>
      <c r="AG38" s="824"/>
      <c r="AH38" s="824"/>
      <c r="AI38" s="824"/>
      <c r="AJ38" s="824"/>
      <c r="AK38" s="824"/>
      <c r="AL38" s="824"/>
      <c r="AM38" s="824"/>
      <c r="AN38" s="900"/>
      <c r="AO38" s="818"/>
    </row>
    <row r="39" s="692" customFormat="1" ht="29" spans="1:42">
      <c r="A39" s="853">
        <v>23</v>
      </c>
      <c r="B39" s="409" t="s">
        <v>620</v>
      </c>
      <c r="C39" s="725" t="s">
        <v>621</v>
      </c>
      <c r="D39" s="725" t="s">
        <v>622</v>
      </c>
      <c r="E39" s="725" t="s">
        <v>265</v>
      </c>
      <c r="F39" s="771" t="s">
        <v>266</v>
      </c>
      <c r="G39" s="721" t="s">
        <v>476</v>
      </c>
      <c r="H39" s="773">
        <v>4</v>
      </c>
      <c r="I39" s="727" t="s">
        <v>580</v>
      </c>
      <c r="J39" s="411" t="s">
        <v>581</v>
      </c>
      <c r="K39" s="725" t="s">
        <v>621</v>
      </c>
      <c r="L39" s="725" t="s">
        <v>622</v>
      </c>
      <c r="M39" s="411" t="s">
        <v>618</v>
      </c>
      <c r="N39" s="901">
        <v>4294967295</v>
      </c>
      <c r="O39" s="409" t="s">
        <v>470</v>
      </c>
      <c r="P39" s="889" t="s">
        <v>550</v>
      </c>
      <c r="Q39" s="889" t="s">
        <v>550</v>
      </c>
      <c r="R39" s="890">
        <v>0</v>
      </c>
      <c r="S39" s="411" t="s">
        <v>93</v>
      </c>
      <c r="T39" s="902" t="s">
        <v>520</v>
      </c>
      <c r="U39" s="850" t="s">
        <v>266</v>
      </c>
      <c r="V39" s="851" t="s">
        <v>272</v>
      </c>
      <c r="W39" s="850" t="s">
        <v>266</v>
      </c>
      <c r="X39" s="850" t="s">
        <v>266</v>
      </c>
      <c r="Y39" s="850" t="s">
        <v>266</v>
      </c>
      <c r="Z39" s="850" t="s">
        <v>266</v>
      </c>
      <c r="AA39" s="850" t="s">
        <v>266</v>
      </c>
      <c r="AB39" s="850" t="s">
        <v>266</v>
      </c>
      <c r="AC39" s="850" t="s">
        <v>266</v>
      </c>
      <c r="AD39" s="775" t="s">
        <v>272</v>
      </c>
      <c r="AE39" s="851" t="s">
        <v>272</v>
      </c>
      <c r="AF39" s="775" t="s">
        <v>272</v>
      </c>
      <c r="AG39" s="775" t="s">
        <v>272</v>
      </c>
      <c r="AH39" s="775" t="s">
        <v>272</v>
      </c>
      <c r="AI39" s="775" t="s">
        <v>272</v>
      </c>
      <c r="AJ39" s="775" t="s">
        <v>272</v>
      </c>
      <c r="AK39" s="775" t="s">
        <v>272</v>
      </c>
      <c r="AL39" s="775" t="s">
        <v>272</v>
      </c>
      <c r="AM39" s="850" t="s">
        <v>266</v>
      </c>
      <c r="AN39" s="850" t="s">
        <v>266</v>
      </c>
      <c r="AO39" s="903" t="s">
        <v>623</v>
      </c>
      <c r="AP39" s="694" t="s">
        <v>546</v>
      </c>
    </row>
    <row r="40" s="692" customFormat="1" ht="29" spans="1:42">
      <c r="A40" s="853">
        <v>24</v>
      </c>
      <c r="B40" s="409" t="s">
        <v>624</v>
      </c>
      <c r="C40" s="725" t="s">
        <v>625</v>
      </c>
      <c r="D40" s="725" t="s">
        <v>626</v>
      </c>
      <c r="E40" s="725" t="s">
        <v>265</v>
      </c>
      <c r="F40" s="771" t="s">
        <v>266</v>
      </c>
      <c r="G40" s="721" t="s">
        <v>476</v>
      </c>
      <c r="H40" s="773">
        <v>4</v>
      </c>
      <c r="I40" s="727" t="s">
        <v>580</v>
      </c>
      <c r="J40" s="411" t="s">
        <v>581</v>
      </c>
      <c r="K40" s="725" t="s">
        <v>625</v>
      </c>
      <c r="L40" s="725" t="s">
        <v>626</v>
      </c>
      <c r="M40" s="411" t="s">
        <v>618</v>
      </c>
      <c r="N40" s="901">
        <v>4294967295</v>
      </c>
      <c r="O40" s="409" t="s">
        <v>470</v>
      </c>
      <c r="P40" s="889" t="s">
        <v>550</v>
      </c>
      <c r="Q40" s="889" t="s">
        <v>550</v>
      </c>
      <c r="R40" s="890">
        <v>0</v>
      </c>
      <c r="S40" s="411" t="s">
        <v>93</v>
      </c>
      <c r="T40" s="902" t="s">
        <v>520</v>
      </c>
      <c r="U40" s="850" t="s">
        <v>266</v>
      </c>
      <c r="V40" s="851" t="s">
        <v>272</v>
      </c>
      <c r="W40" s="850" t="s">
        <v>266</v>
      </c>
      <c r="X40" s="850" t="s">
        <v>266</v>
      </c>
      <c r="Y40" s="850" t="s">
        <v>266</v>
      </c>
      <c r="Z40" s="850" t="s">
        <v>266</v>
      </c>
      <c r="AA40" s="850" t="s">
        <v>266</v>
      </c>
      <c r="AB40" s="850" t="s">
        <v>266</v>
      </c>
      <c r="AC40" s="850" t="s">
        <v>266</v>
      </c>
      <c r="AD40" s="775" t="s">
        <v>272</v>
      </c>
      <c r="AE40" s="851" t="s">
        <v>272</v>
      </c>
      <c r="AF40" s="775" t="s">
        <v>272</v>
      </c>
      <c r="AG40" s="775" t="s">
        <v>272</v>
      </c>
      <c r="AH40" s="775" t="s">
        <v>272</v>
      </c>
      <c r="AI40" s="775" t="s">
        <v>272</v>
      </c>
      <c r="AJ40" s="775" t="s">
        <v>272</v>
      </c>
      <c r="AK40" s="775" t="s">
        <v>272</v>
      </c>
      <c r="AL40" s="775" t="s">
        <v>272</v>
      </c>
      <c r="AM40" s="850" t="s">
        <v>266</v>
      </c>
      <c r="AN40" s="850" t="s">
        <v>266</v>
      </c>
      <c r="AO40" s="903" t="s">
        <v>623</v>
      </c>
      <c r="AP40" s="694" t="s">
        <v>546</v>
      </c>
    </row>
    <row r="41" s="692" customFormat="1" ht="14.5" spans="1:42">
      <c r="A41" s="770">
        <v>25</v>
      </c>
      <c r="B41" s="706" t="s">
        <v>627</v>
      </c>
      <c r="C41" s="707" t="s">
        <v>628</v>
      </c>
      <c r="D41" s="707" t="s">
        <v>629</v>
      </c>
      <c r="E41" s="724" t="s">
        <v>282</v>
      </c>
      <c r="F41" s="887" t="s">
        <v>272</v>
      </c>
      <c r="G41" s="721" t="s">
        <v>476</v>
      </c>
      <c r="H41" s="866">
        <v>1024</v>
      </c>
      <c r="I41" s="849" t="s">
        <v>469</v>
      </c>
      <c r="J41" s="849" t="s">
        <v>469</v>
      </c>
      <c r="K41" s="724" t="s">
        <v>628</v>
      </c>
      <c r="L41" s="724" t="s">
        <v>629</v>
      </c>
      <c r="M41" s="712" t="s">
        <v>193</v>
      </c>
      <c r="N41" s="712" t="s">
        <v>193</v>
      </c>
      <c r="O41" s="409" t="s">
        <v>470</v>
      </c>
      <c r="P41" s="725" t="s">
        <v>193</v>
      </c>
      <c r="Q41" s="725" t="s">
        <v>193</v>
      </c>
      <c r="R41" s="725" t="s">
        <v>193</v>
      </c>
      <c r="S41" s="727" t="s">
        <v>91</v>
      </c>
      <c r="T41" s="892" t="s">
        <v>520</v>
      </c>
      <c r="U41" s="727" t="s">
        <v>266</v>
      </c>
      <c r="V41" s="727" t="s">
        <v>272</v>
      </c>
      <c r="W41" s="727" t="s">
        <v>266</v>
      </c>
      <c r="X41" s="727" t="s">
        <v>266</v>
      </c>
      <c r="Y41" s="727" t="s">
        <v>266</v>
      </c>
      <c r="Z41" s="727" t="s">
        <v>266</v>
      </c>
      <c r="AA41" s="727" t="s">
        <v>266</v>
      </c>
      <c r="AB41" s="727" t="s">
        <v>266</v>
      </c>
      <c r="AC41" s="727" t="s">
        <v>266</v>
      </c>
      <c r="AD41" s="727" t="s">
        <v>272</v>
      </c>
      <c r="AE41" s="727" t="s">
        <v>272</v>
      </c>
      <c r="AF41" s="727" t="s">
        <v>272</v>
      </c>
      <c r="AG41" s="727" t="s">
        <v>272</v>
      </c>
      <c r="AH41" s="727" t="s">
        <v>272</v>
      </c>
      <c r="AI41" s="727" t="s">
        <v>272</v>
      </c>
      <c r="AJ41" s="727" t="s">
        <v>272</v>
      </c>
      <c r="AK41" s="727" t="s">
        <v>272</v>
      </c>
      <c r="AL41" s="727" t="s">
        <v>272</v>
      </c>
      <c r="AM41" s="727" t="s">
        <v>266</v>
      </c>
      <c r="AN41" s="713" t="s">
        <v>266</v>
      </c>
      <c r="AO41" s="713" t="s">
        <v>630</v>
      </c>
    </row>
    <row r="42" s="692" customFormat="1" ht="26" spans="1:42">
      <c r="A42" s="770">
        <v>26</v>
      </c>
      <c r="B42" s="904" t="s">
        <v>631</v>
      </c>
      <c r="C42" s="905" t="s">
        <v>632</v>
      </c>
      <c r="D42" s="905" t="s">
        <v>633</v>
      </c>
      <c r="E42" s="897" t="s">
        <v>282</v>
      </c>
      <c r="F42" s="906" t="s">
        <v>272</v>
      </c>
      <c r="G42" s="907" t="s">
        <v>476</v>
      </c>
      <c r="H42" s="908">
        <v>1</v>
      </c>
      <c r="I42" s="909">
        <v>0</v>
      </c>
      <c r="J42" s="909" t="s">
        <v>469</v>
      </c>
      <c r="K42" s="897" t="s">
        <v>632</v>
      </c>
      <c r="L42" s="897" t="s">
        <v>633</v>
      </c>
      <c r="M42" s="712" t="s">
        <v>193</v>
      </c>
      <c r="N42" s="712" t="s">
        <v>193</v>
      </c>
      <c r="O42" s="465" t="s">
        <v>470</v>
      </c>
      <c r="P42" s="724" t="s">
        <v>634</v>
      </c>
      <c r="Q42" s="724" t="s">
        <v>635</v>
      </c>
      <c r="R42" s="725" t="s">
        <v>193</v>
      </c>
      <c r="S42" s="727" t="s">
        <v>604</v>
      </c>
      <c r="T42" s="891" t="s">
        <v>520</v>
      </c>
      <c r="U42" s="910" t="s">
        <v>266</v>
      </c>
      <c r="V42" s="910" t="s">
        <v>272</v>
      </c>
      <c r="W42" s="910" t="s">
        <v>266</v>
      </c>
      <c r="X42" s="910" t="s">
        <v>266</v>
      </c>
      <c r="Y42" s="910" t="s">
        <v>266</v>
      </c>
      <c r="Z42" s="910" t="s">
        <v>266</v>
      </c>
      <c r="AA42" s="910" t="s">
        <v>266</v>
      </c>
      <c r="AB42" s="910" t="s">
        <v>266</v>
      </c>
      <c r="AC42" s="910" t="s">
        <v>266</v>
      </c>
      <c r="AD42" s="910" t="s">
        <v>272</v>
      </c>
      <c r="AE42" s="411" t="s">
        <v>272</v>
      </c>
      <c r="AF42" s="411" t="s">
        <v>272</v>
      </c>
      <c r="AG42" s="411" t="s">
        <v>272</v>
      </c>
      <c r="AH42" s="411" t="s">
        <v>272</v>
      </c>
      <c r="AI42" s="411" t="s">
        <v>272</v>
      </c>
      <c r="AJ42" s="411" t="s">
        <v>272</v>
      </c>
      <c r="AK42" s="411" t="s">
        <v>272</v>
      </c>
      <c r="AL42" s="411" t="s">
        <v>272</v>
      </c>
      <c r="AM42" s="411" t="s">
        <v>266</v>
      </c>
      <c r="AN42" s="888" t="s">
        <v>266</v>
      </c>
      <c r="AO42" s="888" t="s">
        <v>636</v>
      </c>
      <c r="AP42" s="692" t="s">
        <v>637</v>
      </c>
    </row>
    <row r="43" s="692" customFormat="1" ht="26" spans="1:42">
      <c r="A43" s="853">
        <v>27</v>
      </c>
      <c r="B43" s="465" t="s">
        <v>638</v>
      </c>
      <c r="C43" s="897" t="s">
        <v>639</v>
      </c>
      <c r="D43" s="897" t="s">
        <v>640</v>
      </c>
      <c r="E43" s="897" t="s">
        <v>282</v>
      </c>
      <c r="F43" s="906" t="s">
        <v>272</v>
      </c>
      <c r="G43" s="907" t="s">
        <v>476</v>
      </c>
      <c r="H43" s="908">
        <v>1</v>
      </c>
      <c r="I43" s="909">
        <v>0</v>
      </c>
      <c r="J43" s="909" t="s">
        <v>469</v>
      </c>
      <c r="K43" s="897" t="s">
        <v>639</v>
      </c>
      <c r="L43" s="897" t="s">
        <v>640</v>
      </c>
      <c r="M43" s="712" t="s">
        <v>193</v>
      </c>
      <c r="N43" s="712" t="s">
        <v>193</v>
      </c>
      <c r="O43" s="465" t="s">
        <v>470</v>
      </c>
      <c r="P43" s="724" t="s">
        <v>641</v>
      </c>
      <c r="Q43" s="724" t="s">
        <v>642</v>
      </c>
      <c r="R43" s="725" t="s">
        <v>193</v>
      </c>
      <c r="S43" s="727" t="s">
        <v>604</v>
      </c>
      <c r="T43" s="891" t="s">
        <v>520</v>
      </c>
      <c r="U43" s="910" t="s">
        <v>266</v>
      </c>
      <c r="V43" s="910" t="s">
        <v>272</v>
      </c>
      <c r="W43" s="910" t="s">
        <v>266</v>
      </c>
      <c r="X43" s="910" t="s">
        <v>266</v>
      </c>
      <c r="Y43" s="910" t="s">
        <v>266</v>
      </c>
      <c r="Z43" s="910" t="s">
        <v>266</v>
      </c>
      <c r="AA43" s="910" t="s">
        <v>266</v>
      </c>
      <c r="AB43" s="910" t="s">
        <v>266</v>
      </c>
      <c r="AC43" s="910" t="s">
        <v>266</v>
      </c>
      <c r="AD43" s="910" t="s">
        <v>272</v>
      </c>
      <c r="AE43" s="910" t="s">
        <v>272</v>
      </c>
      <c r="AF43" s="910" t="s">
        <v>272</v>
      </c>
      <c r="AG43" s="910" t="s">
        <v>272</v>
      </c>
      <c r="AH43" s="910" t="s">
        <v>272</v>
      </c>
      <c r="AI43" s="910" t="s">
        <v>272</v>
      </c>
      <c r="AJ43" s="910" t="s">
        <v>272</v>
      </c>
      <c r="AK43" s="910" t="s">
        <v>272</v>
      </c>
      <c r="AL43" s="910" t="s">
        <v>272</v>
      </c>
      <c r="AM43" s="411" t="s">
        <v>266</v>
      </c>
      <c r="AN43" s="888" t="s">
        <v>266</v>
      </c>
      <c r="AO43" s="888" t="s">
        <v>636</v>
      </c>
      <c r="AP43" s="692" t="s">
        <v>637</v>
      </c>
    </row>
    <row r="44" s="692" customFormat="1" ht="26" spans="1:42">
      <c r="A44" s="853">
        <v>28</v>
      </c>
      <c r="B44" s="465" t="s">
        <v>643</v>
      </c>
      <c r="C44" s="897" t="s">
        <v>644</v>
      </c>
      <c r="D44" s="897" t="s">
        <v>645</v>
      </c>
      <c r="E44" s="897" t="s">
        <v>282</v>
      </c>
      <c r="F44" s="906" t="s">
        <v>272</v>
      </c>
      <c r="G44" s="907" t="s">
        <v>476</v>
      </c>
      <c r="H44" s="908">
        <v>1</v>
      </c>
      <c r="I44" s="909">
        <v>0</v>
      </c>
      <c r="J44" s="909" t="s">
        <v>469</v>
      </c>
      <c r="K44" s="897" t="s">
        <v>644</v>
      </c>
      <c r="L44" s="897" t="s">
        <v>645</v>
      </c>
      <c r="M44" s="712" t="s">
        <v>193</v>
      </c>
      <c r="N44" s="712" t="s">
        <v>193</v>
      </c>
      <c r="O44" s="465" t="s">
        <v>470</v>
      </c>
      <c r="P44" s="725" t="s">
        <v>646</v>
      </c>
      <c r="Q44" s="725" t="s">
        <v>647</v>
      </c>
      <c r="R44" s="725" t="s">
        <v>193</v>
      </c>
      <c r="S44" s="727" t="s">
        <v>604</v>
      </c>
      <c r="T44" s="891" t="s">
        <v>520</v>
      </c>
      <c r="U44" s="910" t="s">
        <v>266</v>
      </c>
      <c r="V44" s="910" t="s">
        <v>272</v>
      </c>
      <c r="W44" s="910" t="s">
        <v>266</v>
      </c>
      <c r="X44" s="910" t="s">
        <v>266</v>
      </c>
      <c r="Y44" s="910" t="s">
        <v>266</v>
      </c>
      <c r="Z44" s="910" t="s">
        <v>266</v>
      </c>
      <c r="AA44" s="910" t="s">
        <v>266</v>
      </c>
      <c r="AB44" s="910" t="s">
        <v>266</v>
      </c>
      <c r="AC44" s="910" t="s">
        <v>266</v>
      </c>
      <c r="AD44" s="411" t="s">
        <v>272</v>
      </c>
      <c r="AE44" s="411" t="s">
        <v>272</v>
      </c>
      <c r="AF44" s="411" t="s">
        <v>272</v>
      </c>
      <c r="AG44" s="411" t="s">
        <v>272</v>
      </c>
      <c r="AH44" s="411" t="s">
        <v>272</v>
      </c>
      <c r="AI44" s="411" t="s">
        <v>272</v>
      </c>
      <c r="AJ44" s="411" t="s">
        <v>272</v>
      </c>
      <c r="AK44" s="411" t="s">
        <v>272</v>
      </c>
      <c r="AL44" s="411" t="s">
        <v>272</v>
      </c>
      <c r="AM44" s="411" t="s">
        <v>266</v>
      </c>
      <c r="AN44" s="888" t="s">
        <v>266</v>
      </c>
      <c r="AO44" s="888" t="s">
        <v>636</v>
      </c>
      <c r="AP44" s="692" t="s">
        <v>637</v>
      </c>
    </row>
    <row r="45" s="692" customFormat="1" ht="26" spans="1:42">
      <c r="A45" s="853">
        <v>29</v>
      </c>
      <c r="B45" s="465" t="s">
        <v>648</v>
      </c>
      <c r="C45" s="897" t="s">
        <v>649</v>
      </c>
      <c r="D45" s="897" t="s">
        <v>650</v>
      </c>
      <c r="E45" s="897" t="s">
        <v>282</v>
      </c>
      <c r="F45" s="906" t="s">
        <v>272</v>
      </c>
      <c r="G45" s="907" t="s">
        <v>467</v>
      </c>
      <c r="H45" s="908">
        <v>1</v>
      </c>
      <c r="I45" s="909">
        <v>0</v>
      </c>
      <c r="J45" s="909" t="s">
        <v>469</v>
      </c>
      <c r="K45" s="897" t="s">
        <v>649</v>
      </c>
      <c r="L45" s="897" t="s">
        <v>650</v>
      </c>
      <c r="M45" s="712" t="s">
        <v>193</v>
      </c>
      <c r="N45" s="712" t="s">
        <v>193</v>
      </c>
      <c r="O45" s="465" t="s">
        <v>470</v>
      </c>
      <c r="P45" s="725" t="s">
        <v>641</v>
      </c>
      <c r="Q45" s="725" t="s">
        <v>642</v>
      </c>
      <c r="R45" s="725" t="s">
        <v>193</v>
      </c>
      <c r="S45" s="727" t="s">
        <v>604</v>
      </c>
      <c r="T45" s="891" t="s">
        <v>520</v>
      </c>
      <c r="U45" s="910" t="s">
        <v>266</v>
      </c>
      <c r="V45" s="910" t="s">
        <v>272</v>
      </c>
      <c r="W45" s="910" t="s">
        <v>266</v>
      </c>
      <c r="X45" s="910" t="s">
        <v>266</v>
      </c>
      <c r="Y45" s="910" t="s">
        <v>266</v>
      </c>
      <c r="Z45" s="910" t="s">
        <v>266</v>
      </c>
      <c r="AA45" s="910" t="s">
        <v>266</v>
      </c>
      <c r="AB45" s="910" t="s">
        <v>266</v>
      </c>
      <c r="AC45" s="910" t="s">
        <v>266</v>
      </c>
      <c r="AD45" s="411" t="s">
        <v>272</v>
      </c>
      <c r="AE45" s="411" t="s">
        <v>272</v>
      </c>
      <c r="AF45" s="411" t="s">
        <v>266</v>
      </c>
      <c r="AG45" s="411" t="s">
        <v>272</v>
      </c>
      <c r="AH45" s="411" t="s">
        <v>272</v>
      </c>
      <c r="AI45" s="411" t="s">
        <v>272</v>
      </c>
      <c r="AJ45" s="411" t="s">
        <v>272</v>
      </c>
      <c r="AK45" s="411" t="s">
        <v>266</v>
      </c>
      <c r="AL45" s="411" t="s">
        <v>272</v>
      </c>
      <c r="AM45" s="411" t="s">
        <v>266</v>
      </c>
      <c r="AN45" s="888" t="s">
        <v>266</v>
      </c>
      <c r="AO45" s="888" t="s">
        <v>636</v>
      </c>
      <c r="AP45" s="692" t="s">
        <v>637</v>
      </c>
    </row>
    <row r="46" s="692" customFormat="1" ht="14.5" spans="1:42">
      <c r="A46" s="853">
        <v>30</v>
      </c>
      <c r="B46" s="465" t="s">
        <v>651</v>
      </c>
      <c r="C46" s="897" t="s">
        <v>652</v>
      </c>
      <c r="D46" s="897" t="s">
        <v>653</v>
      </c>
      <c r="E46" s="897" t="s">
        <v>282</v>
      </c>
      <c r="F46" s="906" t="s">
        <v>272</v>
      </c>
      <c r="G46" s="907" t="s">
        <v>476</v>
      </c>
      <c r="H46" s="908">
        <v>32</v>
      </c>
      <c r="I46" s="909" t="s">
        <v>469</v>
      </c>
      <c r="J46" s="909" t="s">
        <v>469</v>
      </c>
      <c r="K46" s="897" t="s">
        <v>652</v>
      </c>
      <c r="L46" s="897" t="s">
        <v>653</v>
      </c>
      <c r="M46" s="712" t="s">
        <v>193</v>
      </c>
      <c r="N46" s="712" t="s">
        <v>193</v>
      </c>
      <c r="O46" s="465" t="s">
        <v>470</v>
      </c>
      <c r="P46" s="724" t="s">
        <v>193</v>
      </c>
      <c r="Q46" s="724" t="s">
        <v>193</v>
      </c>
      <c r="R46" s="725" t="s">
        <v>193</v>
      </c>
      <c r="S46" s="727" t="s">
        <v>91</v>
      </c>
      <c r="T46" s="891" t="s">
        <v>520</v>
      </c>
      <c r="U46" s="910" t="s">
        <v>266</v>
      </c>
      <c r="V46" s="910" t="s">
        <v>272</v>
      </c>
      <c r="W46" s="910" t="s">
        <v>266</v>
      </c>
      <c r="X46" s="910" t="s">
        <v>266</v>
      </c>
      <c r="Y46" s="910" t="s">
        <v>266</v>
      </c>
      <c r="Z46" s="910" t="s">
        <v>266</v>
      </c>
      <c r="AA46" s="910" t="s">
        <v>266</v>
      </c>
      <c r="AB46" s="910" t="s">
        <v>266</v>
      </c>
      <c r="AC46" s="910" t="s">
        <v>266</v>
      </c>
      <c r="AD46" s="411" t="s">
        <v>272</v>
      </c>
      <c r="AE46" s="411" t="s">
        <v>272</v>
      </c>
      <c r="AF46" s="411" t="s">
        <v>272</v>
      </c>
      <c r="AG46" s="411" t="s">
        <v>272</v>
      </c>
      <c r="AH46" s="411" t="s">
        <v>272</v>
      </c>
      <c r="AI46" s="411" t="s">
        <v>272</v>
      </c>
      <c r="AJ46" s="411" t="s">
        <v>272</v>
      </c>
      <c r="AK46" s="411" t="s">
        <v>272</v>
      </c>
      <c r="AL46" s="411" t="s">
        <v>272</v>
      </c>
      <c r="AM46" s="411" t="s">
        <v>266</v>
      </c>
      <c r="AN46" s="888" t="s">
        <v>266</v>
      </c>
      <c r="AO46" s="888" t="s">
        <v>654</v>
      </c>
      <c r="AP46" s="692" t="s">
        <v>655</v>
      </c>
    </row>
    <row r="47" s="692" customFormat="1" ht="14.5" spans="1:42">
      <c r="A47" s="853">
        <v>31</v>
      </c>
      <c r="B47" s="465" t="s">
        <v>656</v>
      </c>
      <c r="C47" s="897" t="s">
        <v>657</v>
      </c>
      <c r="D47" s="897" t="s">
        <v>658</v>
      </c>
      <c r="E47" s="897" t="s">
        <v>282</v>
      </c>
      <c r="F47" s="906" t="s">
        <v>272</v>
      </c>
      <c r="G47" s="907" t="s">
        <v>476</v>
      </c>
      <c r="H47" s="908">
        <v>16</v>
      </c>
      <c r="I47" s="909" t="s">
        <v>469</v>
      </c>
      <c r="J47" s="909" t="s">
        <v>469</v>
      </c>
      <c r="K47" s="897" t="s">
        <v>657</v>
      </c>
      <c r="L47" s="897" t="s">
        <v>658</v>
      </c>
      <c r="M47" s="712" t="s">
        <v>193</v>
      </c>
      <c r="N47" s="712" t="s">
        <v>193</v>
      </c>
      <c r="O47" s="465" t="s">
        <v>470</v>
      </c>
      <c r="P47" s="724" t="s">
        <v>193</v>
      </c>
      <c r="Q47" s="724" t="s">
        <v>193</v>
      </c>
      <c r="R47" s="725" t="s">
        <v>193</v>
      </c>
      <c r="S47" s="727" t="s">
        <v>91</v>
      </c>
      <c r="T47" s="891" t="s">
        <v>520</v>
      </c>
      <c r="U47" s="910" t="s">
        <v>266</v>
      </c>
      <c r="V47" s="910" t="s">
        <v>272</v>
      </c>
      <c r="W47" s="910" t="s">
        <v>266</v>
      </c>
      <c r="X47" s="910" t="s">
        <v>266</v>
      </c>
      <c r="Y47" s="910" t="s">
        <v>266</v>
      </c>
      <c r="Z47" s="910" t="s">
        <v>266</v>
      </c>
      <c r="AA47" s="910" t="s">
        <v>266</v>
      </c>
      <c r="AB47" s="910" t="s">
        <v>266</v>
      </c>
      <c r="AC47" s="910" t="s">
        <v>266</v>
      </c>
      <c r="AD47" s="411" t="s">
        <v>272</v>
      </c>
      <c r="AE47" s="411" t="s">
        <v>272</v>
      </c>
      <c r="AF47" s="411" t="s">
        <v>272</v>
      </c>
      <c r="AG47" s="411" t="s">
        <v>272</v>
      </c>
      <c r="AH47" s="411" t="s">
        <v>272</v>
      </c>
      <c r="AI47" s="411" t="s">
        <v>272</v>
      </c>
      <c r="AJ47" s="411" t="s">
        <v>272</v>
      </c>
      <c r="AK47" s="411" t="s">
        <v>272</v>
      </c>
      <c r="AL47" s="411" t="s">
        <v>272</v>
      </c>
      <c r="AM47" s="411" t="s">
        <v>266</v>
      </c>
      <c r="AN47" s="888" t="s">
        <v>266</v>
      </c>
      <c r="AO47" s="888" t="s">
        <v>654</v>
      </c>
      <c r="AP47" s="692" t="s">
        <v>655</v>
      </c>
    </row>
    <row r="48" s="692" customFormat="1" ht="26" spans="1:42">
      <c r="A48" s="853">
        <v>32</v>
      </c>
      <c r="B48" s="465" t="s">
        <v>659</v>
      </c>
      <c r="C48" s="897" t="s">
        <v>660</v>
      </c>
      <c r="D48" s="897" t="s">
        <v>661</v>
      </c>
      <c r="E48" s="897" t="s">
        <v>282</v>
      </c>
      <c r="F48" s="906" t="s">
        <v>272</v>
      </c>
      <c r="G48" s="907" t="s">
        <v>476</v>
      </c>
      <c r="H48" s="908">
        <v>1</v>
      </c>
      <c r="I48" s="909">
        <v>0</v>
      </c>
      <c r="J48" s="909" t="s">
        <v>469</v>
      </c>
      <c r="K48" s="897" t="s">
        <v>660</v>
      </c>
      <c r="L48" s="897" t="s">
        <v>661</v>
      </c>
      <c r="M48" s="712" t="s">
        <v>193</v>
      </c>
      <c r="N48" s="712" t="s">
        <v>193</v>
      </c>
      <c r="O48" s="465" t="s">
        <v>470</v>
      </c>
      <c r="P48" s="724" t="s">
        <v>662</v>
      </c>
      <c r="Q48" s="724" t="s">
        <v>663</v>
      </c>
      <c r="R48" s="725" t="s">
        <v>193</v>
      </c>
      <c r="S48" s="727" t="s">
        <v>604</v>
      </c>
      <c r="T48" s="891" t="s">
        <v>520</v>
      </c>
      <c r="U48" s="910" t="s">
        <v>266</v>
      </c>
      <c r="V48" s="910" t="s">
        <v>272</v>
      </c>
      <c r="W48" s="910" t="s">
        <v>266</v>
      </c>
      <c r="X48" s="910" t="s">
        <v>266</v>
      </c>
      <c r="Y48" s="910" t="s">
        <v>266</v>
      </c>
      <c r="Z48" s="910" t="s">
        <v>266</v>
      </c>
      <c r="AA48" s="910" t="s">
        <v>266</v>
      </c>
      <c r="AB48" s="910" t="s">
        <v>266</v>
      </c>
      <c r="AC48" s="910" t="s">
        <v>266</v>
      </c>
      <c r="AD48" s="411" t="s">
        <v>272</v>
      </c>
      <c r="AE48" s="411" t="s">
        <v>272</v>
      </c>
      <c r="AF48" s="411" t="s">
        <v>272</v>
      </c>
      <c r="AG48" s="411" t="s">
        <v>272</v>
      </c>
      <c r="AH48" s="411" t="s">
        <v>272</v>
      </c>
      <c r="AI48" s="411" t="s">
        <v>272</v>
      </c>
      <c r="AJ48" s="411" t="s">
        <v>272</v>
      </c>
      <c r="AK48" s="411" t="s">
        <v>272</v>
      </c>
      <c r="AL48" s="411" t="s">
        <v>272</v>
      </c>
      <c r="AM48" s="411" t="s">
        <v>266</v>
      </c>
      <c r="AN48" s="888" t="s">
        <v>266</v>
      </c>
      <c r="AO48" s="888" t="s">
        <v>654</v>
      </c>
      <c r="AP48" s="692" t="s">
        <v>655</v>
      </c>
    </row>
    <row r="49" s="692" customFormat="1" ht="52" spans="1:42">
      <c r="A49" s="853">
        <v>33</v>
      </c>
      <c r="B49" s="465" t="s">
        <v>664</v>
      </c>
      <c r="C49" s="897" t="s">
        <v>665</v>
      </c>
      <c r="D49" s="897" t="s">
        <v>666</v>
      </c>
      <c r="E49" s="897" t="s">
        <v>282</v>
      </c>
      <c r="F49" s="906" t="s">
        <v>272</v>
      </c>
      <c r="G49" s="907" t="s">
        <v>476</v>
      </c>
      <c r="H49" s="908">
        <v>1</v>
      </c>
      <c r="I49" s="465">
        <v>0</v>
      </c>
      <c r="J49" s="465" t="s">
        <v>469</v>
      </c>
      <c r="K49" s="897" t="s">
        <v>665</v>
      </c>
      <c r="L49" s="897" t="s">
        <v>666</v>
      </c>
      <c r="M49" s="712" t="s">
        <v>193</v>
      </c>
      <c r="N49" s="712" t="s">
        <v>193</v>
      </c>
      <c r="O49" s="465" t="s">
        <v>470</v>
      </c>
      <c r="P49" s="724" t="s">
        <v>667</v>
      </c>
      <c r="Q49" s="724" t="s">
        <v>668</v>
      </c>
      <c r="R49" s="725" t="s">
        <v>193</v>
      </c>
      <c r="S49" s="727" t="s">
        <v>604</v>
      </c>
      <c r="T49" s="891" t="s">
        <v>520</v>
      </c>
      <c r="U49" s="910" t="s">
        <v>266</v>
      </c>
      <c r="V49" s="910" t="s">
        <v>272</v>
      </c>
      <c r="W49" s="910" t="s">
        <v>266</v>
      </c>
      <c r="X49" s="910" t="s">
        <v>266</v>
      </c>
      <c r="Y49" s="910" t="s">
        <v>266</v>
      </c>
      <c r="Z49" s="910" t="s">
        <v>266</v>
      </c>
      <c r="AA49" s="910" t="s">
        <v>266</v>
      </c>
      <c r="AB49" s="910" t="s">
        <v>266</v>
      </c>
      <c r="AC49" s="910" t="s">
        <v>266</v>
      </c>
      <c r="AD49" s="411" t="s">
        <v>272</v>
      </c>
      <c r="AE49" s="411" t="s">
        <v>272</v>
      </c>
      <c r="AF49" s="411" t="s">
        <v>272</v>
      </c>
      <c r="AG49" s="411" t="s">
        <v>272</v>
      </c>
      <c r="AH49" s="411" t="s">
        <v>272</v>
      </c>
      <c r="AI49" s="411" t="s">
        <v>272</v>
      </c>
      <c r="AJ49" s="411" t="s">
        <v>272</v>
      </c>
      <c r="AK49" s="411" t="s">
        <v>272</v>
      </c>
      <c r="AL49" s="411" t="s">
        <v>272</v>
      </c>
      <c r="AM49" s="411" t="s">
        <v>266</v>
      </c>
      <c r="AN49" s="888" t="s">
        <v>266</v>
      </c>
      <c r="AO49" s="888" t="s">
        <v>654</v>
      </c>
      <c r="AP49" s="692" t="s">
        <v>655</v>
      </c>
    </row>
    <row r="50" s="692" customFormat="1" ht="117" spans="1:42">
      <c r="A50" s="853">
        <v>34</v>
      </c>
      <c r="B50" s="465" t="s">
        <v>669</v>
      </c>
      <c r="C50" s="897" t="s">
        <v>670</v>
      </c>
      <c r="D50" s="897" t="s">
        <v>671</v>
      </c>
      <c r="E50" s="897" t="s">
        <v>282</v>
      </c>
      <c r="F50" s="906" t="s">
        <v>272</v>
      </c>
      <c r="G50" s="911" t="s">
        <v>476</v>
      </c>
      <c r="H50" s="912">
        <v>1</v>
      </c>
      <c r="I50" s="904">
        <v>0</v>
      </c>
      <c r="J50" s="904" t="s">
        <v>469</v>
      </c>
      <c r="K50" s="905" t="s">
        <v>670</v>
      </c>
      <c r="L50" s="897" t="s">
        <v>671</v>
      </c>
      <c r="M50" s="712" t="s">
        <v>193</v>
      </c>
      <c r="N50" s="712" t="s">
        <v>193</v>
      </c>
      <c r="O50" s="465" t="s">
        <v>470</v>
      </c>
      <c r="P50" s="725" t="s">
        <v>672</v>
      </c>
      <c r="Q50" s="725" t="s">
        <v>673</v>
      </c>
      <c r="R50" s="725" t="s">
        <v>193</v>
      </c>
      <c r="S50" s="727" t="s">
        <v>604</v>
      </c>
      <c r="T50" s="891" t="s">
        <v>520</v>
      </c>
      <c r="U50" s="910" t="s">
        <v>266</v>
      </c>
      <c r="V50" s="910" t="s">
        <v>272</v>
      </c>
      <c r="W50" s="910" t="s">
        <v>266</v>
      </c>
      <c r="X50" s="910" t="s">
        <v>266</v>
      </c>
      <c r="Y50" s="910" t="s">
        <v>266</v>
      </c>
      <c r="Z50" s="910" t="s">
        <v>266</v>
      </c>
      <c r="AA50" s="910" t="s">
        <v>266</v>
      </c>
      <c r="AB50" s="910" t="s">
        <v>266</v>
      </c>
      <c r="AC50" s="910" t="s">
        <v>266</v>
      </c>
      <c r="AD50" s="411" t="s">
        <v>272</v>
      </c>
      <c r="AE50" s="411" t="s">
        <v>272</v>
      </c>
      <c r="AF50" s="411" t="s">
        <v>272</v>
      </c>
      <c r="AG50" s="411" t="s">
        <v>272</v>
      </c>
      <c r="AH50" s="411" t="s">
        <v>272</v>
      </c>
      <c r="AI50" s="411" t="s">
        <v>272</v>
      </c>
      <c r="AJ50" s="411" t="s">
        <v>272</v>
      </c>
      <c r="AK50" s="411" t="s">
        <v>272</v>
      </c>
      <c r="AL50" s="411" t="s">
        <v>272</v>
      </c>
      <c r="AM50" s="411" t="s">
        <v>266</v>
      </c>
      <c r="AN50" s="888" t="s">
        <v>266</v>
      </c>
      <c r="AO50" s="888" t="s">
        <v>674</v>
      </c>
      <c r="AP50" s="692" t="s">
        <v>675</v>
      </c>
    </row>
    <row r="51" s="692" customFormat="1" ht="26" spans="1:42">
      <c r="A51" s="770">
        <v>35</v>
      </c>
      <c r="B51" s="904" t="s">
        <v>676</v>
      </c>
      <c r="C51" s="905" t="s">
        <v>677</v>
      </c>
      <c r="D51" s="905" t="s">
        <v>678</v>
      </c>
      <c r="E51" s="905" t="s">
        <v>265</v>
      </c>
      <c r="F51" s="906" t="s">
        <v>272</v>
      </c>
      <c r="G51" s="911" t="s">
        <v>476</v>
      </c>
      <c r="H51" s="912">
        <v>1</v>
      </c>
      <c r="I51" s="904">
        <v>0</v>
      </c>
      <c r="J51" s="904" t="s">
        <v>469</v>
      </c>
      <c r="K51" s="905" t="s">
        <v>677</v>
      </c>
      <c r="L51" s="897" t="s">
        <v>678</v>
      </c>
      <c r="M51" s="712" t="s">
        <v>193</v>
      </c>
      <c r="N51" s="712" t="s">
        <v>193</v>
      </c>
      <c r="O51" s="465" t="s">
        <v>470</v>
      </c>
      <c r="P51" s="725" t="s">
        <v>679</v>
      </c>
      <c r="Q51" s="725" t="s">
        <v>680</v>
      </c>
      <c r="R51" s="725" t="s">
        <v>193</v>
      </c>
      <c r="S51" s="727" t="s">
        <v>604</v>
      </c>
      <c r="T51" s="891" t="s">
        <v>520</v>
      </c>
      <c r="U51" s="910" t="s">
        <v>266</v>
      </c>
      <c r="V51" s="910" t="s">
        <v>272</v>
      </c>
      <c r="W51" s="910" t="s">
        <v>266</v>
      </c>
      <c r="X51" s="910" t="s">
        <v>266</v>
      </c>
      <c r="Y51" s="910" t="s">
        <v>266</v>
      </c>
      <c r="Z51" s="910" t="s">
        <v>266</v>
      </c>
      <c r="AA51" s="910" t="s">
        <v>266</v>
      </c>
      <c r="AB51" s="910" t="s">
        <v>266</v>
      </c>
      <c r="AC51" s="910" t="s">
        <v>266</v>
      </c>
      <c r="AD51" s="411" t="s">
        <v>272</v>
      </c>
      <c r="AE51" s="411" t="s">
        <v>272</v>
      </c>
      <c r="AF51" s="411" t="s">
        <v>272</v>
      </c>
      <c r="AG51" s="411" t="s">
        <v>272</v>
      </c>
      <c r="AH51" s="411" t="s">
        <v>272</v>
      </c>
      <c r="AI51" s="411" t="s">
        <v>272</v>
      </c>
      <c r="AJ51" s="411" t="s">
        <v>272</v>
      </c>
      <c r="AK51" s="411" t="s">
        <v>272</v>
      </c>
      <c r="AL51" s="411" t="s">
        <v>272</v>
      </c>
      <c r="AM51" s="411" t="s">
        <v>266</v>
      </c>
      <c r="AN51" s="888" t="s">
        <v>266</v>
      </c>
      <c r="AO51" s="888" t="s">
        <v>681</v>
      </c>
      <c r="AP51" s="692" t="s">
        <v>682</v>
      </c>
    </row>
    <row r="52" s="692" customFormat="1" ht="14.5" spans="1:42">
      <c r="A52" s="853">
        <v>36</v>
      </c>
      <c r="B52" s="1333" t="s">
        <v>683</v>
      </c>
      <c r="C52" s="1333" t="s">
        <v>684</v>
      </c>
      <c r="D52" s="1333" t="s">
        <v>685</v>
      </c>
      <c r="E52" s="1333" t="s">
        <v>282</v>
      </c>
      <c r="F52" s="913" t="s">
        <v>272</v>
      </c>
      <c r="G52" s="1334" t="s">
        <v>467</v>
      </c>
      <c r="H52" s="914">
        <v>1</v>
      </c>
      <c r="I52" s="770">
        <v>0</v>
      </c>
      <c r="J52" s="1333" t="s">
        <v>469</v>
      </c>
      <c r="K52" s="1333" t="s">
        <v>684</v>
      </c>
      <c r="L52" s="1333" t="s">
        <v>685</v>
      </c>
      <c r="M52" s="1333" t="s">
        <v>193</v>
      </c>
      <c r="N52" s="1333" t="s">
        <v>193</v>
      </c>
      <c r="O52" s="465" t="s">
        <v>470</v>
      </c>
      <c r="P52" s="1333" t="s">
        <v>193</v>
      </c>
      <c r="Q52" s="1333" t="s">
        <v>193</v>
      </c>
      <c r="R52" s="1333" t="s">
        <v>193</v>
      </c>
      <c r="S52" s="1333" t="s">
        <v>604</v>
      </c>
      <c r="T52" s="1334" t="s">
        <v>520</v>
      </c>
      <c r="U52" s="1333" t="s">
        <v>266</v>
      </c>
      <c r="V52" s="1333" t="s">
        <v>272</v>
      </c>
      <c r="W52" s="1333" t="s">
        <v>266</v>
      </c>
      <c r="X52" s="713" t="s">
        <v>272</v>
      </c>
      <c r="Y52" s="713" t="s">
        <v>272</v>
      </c>
      <c r="Z52" s="713" t="s">
        <v>272</v>
      </c>
      <c r="AA52" s="1333" t="s">
        <v>266</v>
      </c>
      <c r="AB52" s="1333" t="s">
        <v>266</v>
      </c>
      <c r="AC52" s="1333" t="s">
        <v>266</v>
      </c>
      <c r="AD52" s="1333" t="s">
        <v>272</v>
      </c>
      <c r="AE52" s="1333" t="s">
        <v>266</v>
      </c>
      <c r="AF52" s="1333" t="s">
        <v>272</v>
      </c>
      <c r="AG52" s="1333" t="s">
        <v>272</v>
      </c>
      <c r="AH52" s="1333" t="s">
        <v>272</v>
      </c>
      <c r="AI52" s="1333" t="s">
        <v>272</v>
      </c>
      <c r="AJ52" s="1333" t="s">
        <v>266</v>
      </c>
      <c r="AK52" s="1333" t="s">
        <v>266</v>
      </c>
      <c r="AL52" s="1333" t="s">
        <v>272</v>
      </c>
      <c r="AM52" s="1333" t="s">
        <v>266</v>
      </c>
      <c r="AN52" s="1333" t="s">
        <v>266</v>
      </c>
      <c r="AO52" s="770"/>
    </row>
    <row r="53" s="694" customFormat="1" ht="117" spans="1:42">
      <c r="A53" s="853">
        <v>37</v>
      </c>
      <c r="B53" s="1335" t="s">
        <v>686</v>
      </c>
      <c r="C53" s="916" t="s">
        <v>687</v>
      </c>
      <c r="D53" s="916" t="s">
        <v>688</v>
      </c>
      <c r="E53" s="916" t="s">
        <v>282</v>
      </c>
      <c r="F53" s="917" t="s">
        <v>272</v>
      </c>
      <c r="G53" s="918" t="s">
        <v>476</v>
      </c>
      <c r="H53" s="919" t="s">
        <v>384</v>
      </c>
      <c r="I53" s="920" t="s">
        <v>469</v>
      </c>
      <c r="J53" s="920" t="s">
        <v>469</v>
      </c>
      <c r="K53" s="916" t="s">
        <v>687</v>
      </c>
      <c r="L53" s="916" t="s">
        <v>688</v>
      </c>
      <c r="M53" s="712" t="s">
        <v>193</v>
      </c>
      <c r="N53" s="712" t="s">
        <v>193</v>
      </c>
      <c r="O53" s="465" t="s">
        <v>470</v>
      </c>
      <c r="P53" s="916" t="s">
        <v>689</v>
      </c>
      <c r="Q53" s="916" t="s">
        <v>690</v>
      </c>
      <c r="R53" s="921" t="s">
        <v>193</v>
      </c>
      <c r="S53" s="1335" t="s">
        <v>604</v>
      </c>
      <c r="T53" s="1336" t="s">
        <v>520</v>
      </c>
      <c r="U53" s="1335" t="s">
        <v>266</v>
      </c>
      <c r="V53" s="1335" t="s">
        <v>272</v>
      </c>
      <c r="W53" s="1335" t="s">
        <v>266</v>
      </c>
      <c r="X53" s="923" t="s">
        <v>272</v>
      </c>
      <c r="Y53" s="923" t="s">
        <v>272</v>
      </c>
      <c r="Z53" s="923" t="s">
        <v>272</v>
      </c>
      <c r="AA53" s="1335" t="s">
        <v>266</v>
      </c>
      <c r="AB53" s="1335" t="s">
        <v>266</v>
      </c>
      <c r="AC53" s="1335" t="s">
        <v>266</v>
      </c>
      <c r="AD53" s="1335" t="s">
        <v>272</v>
      </c>
      <c r="AE53" s="1335" t="s">
        <v>272</v>
      </c>
      <c r="AF53" s="1335" t="s">
        <v>272</v>
      </c>
      <c r="AG53" s="1335" t="s">
        <v>272</v>
      </c>
      <c r="AH53" s="1335" t="s">
        <v>272</v>
      </c>
      <c r="AI53" s="1335" t="s">
        <v>272</v>
      </c>
      <c r="AJ53" s="1335" t="s">
        <v>272</v>
      </c>
      <c r="AK53" s="1335" t="s">
        <v>272</v>
      </c>
      <c r="AL53" s="1335" t="s">
        <v>272</v>
      </c>
      <c r="AM53" s="1335" t="s">
        <v>266</v>
      </c>
      <c r="AN53" s="1335" t="s">
        <v>266</v>
      </c>
      <c r="AO53" s="924" t="s">
        <v>691</v>
      </c>
    </row>
    <row r="54" s="694" customFormat="1" ht="78" spans="1:42">
      <c r="A54" s="853">
        <v>38</v>
      </c>
      <c r="B54" s="1335" t="s">
        <v>692</v>
      </c>
      <c r="C54" s="916" t="s">
        <v>693</v>
      </c>
      <c r="D54" s="916" t="s">
        <v>694</v>
      </c>
      <c r="E54" s="916" t="s">
        <v>282</v>
      </c>
      <c r="F54" s="917" t="s">
        <v>272</v>
      </c>
      <c r="G54" s="918" t="s">
        <v>476</v>
      </c>
      <c r="H54" s="919" t="s">
        <v>384</v>
      </c>
      <c r="I54" s="920" t="s">
        <v>469</v>
      </c>
      <c r="J54" s="920" t="s">
        <v>469</v>
      </c>
      <c r="K54" s="921" t="s">
        <v>693</v>
      </c>
      <c r="L54" s="916" t="s">
        <v>694</v>
      </c>
      <c r="M54" s="1335" t="s">
        <v>193</v>
      </c>
      <c r="N54" s="1335" t="s">
        <v>193</v>
      </c>
      <c r="O54" s="465" t="s">
        <v>470</v>
      </c>
      <c r="P54" s="916" t="s">
        <v>695</v>
      </c>
      <c r="Q54" s="916" t="s">
        <v>696</v>
      </c>
      <c r="R54" s="921" t="s">
        <v>193</v>
      </c>
      <c r="S54" s="1335" t="s">
        <v>604</v>
      </c>
      <c r="T54" s="1336" t="s">
        <v>520</v>
      </c>
      <c r="U54" s="1335" t="s">
        <v>266</v>
      </c>
      <c r="V54" s="1335" t="s">
        <v>272</v>
      </c>
      <c r="W54" s="1335" t="s">
        <v>266</v>
      </c>
      <c r="X54" s="923" t="s">
        <v>272</v>
      </c>
      <c r="Y54" s="923" t="s">
        <v>272</v>
      </c>
      <c r="Z54" s="923" t="s">
        <v>272</v>
      </c>
      <c r="AA54" s="1335" t="s">
        <v>266</v>
      </c>
      <c r="AB54" s="1335" t="s">
        <v>266</v>
      </c>
      <c r="AC54" s="1335" t="s">
        <v>266</v>
      </c>
      <c r="AD54" s="1335" t="s">
        <v>272</v>
      </c>
      <c r="AE54" s="1335" t="s">
        <v>272</v>
      </c>
      <c r="AF54" s="1335" t="s">
        <v>272</v>
      </c>
      <c r="AG54" s="1335" t="s">
        <v>272</v>
      </c>
      <c r="AH54" s="1335" t="s">
        <v>272</v>
      </c>
      <c r="AI54" s="1335" t="s">
        <v>272</v>
      </c>
      <c r="AJ54" s="1335" t="s">
        <v>272</v>
      </c>
      <c r="AK54" s="1335" t="s">
        <v>272</v>
      </c>
      <c r="AL54" s="1335" t="s">
        <v>272</v>
      </c>
      <c r="AM54" s="1335" t="s">
        <v>266</v>
      </c>
      <c r="AN54" s="1335" t="s">
        <v>266</v>
      </c>
      <c r="AO54" s="924" t="s">
        <v>691</v>
      </c>
    </row>
    <row r="55" s="694" customFormat="1" ht="26" spans="1:42">
      <c r="A55" s="853">
        <v>39</v>
      </c>
      <c r="B55" s="1335" t="s">
        <v>697</v>
      </c>
      <c r="C55" s="916" t="s">
        <v>698</v>
      </c>
      <c r="D55" s="916" t="s">
        <v>699</v>
      </c>
      <c r="E55" s="916" t="s">
        <v>282</v>
      </c>
      <c r="F55" s="917" t="s">
        <v>272</v>
      </c>
      <c r="G55" s="918" t="s">
        <v>476</v>
      </c>
      <c r="H55" s="919" t="s">
        <v>390</v>
      </c>
      <c r="I55" s="920" t="s">
        <v>469</v>
      </c>
      <c r="J55" s="920" t="s">
        <v>469</v>
      </c>
      <c r="K55" s="916" t="s">
        <v>698</v>
      </c>
      <c r="L55" s="916" t="s">
        <v>699</v>
      </c>
      <c r="M55" s="1335" t="s">
        <v>193</v>
      </c>
      <c r="N55" s="1335" t="s">
        <v>193</v>
      </c>
      <c r="O55" s="465" t="s">
        <v>470</v>
      </c>
      <c r="P55" s="1335" t="s">
        <v>193</v>
      </c>
      <c r="Q55" s="1335" t="s">
        <v>193</v>
      </c>
      <c r="R55" s="921" t="s">
        <v>193</v>
      </c>
      <c r="S55" s="1335" t="s">
        <v>99</v>
      </c>
      <c r="T55" s="1336" t="s">
        <v>520</v>
      </c>
      <c r="U55" s="1335" t="s">
        <v>266</v>
      </c>
      <c r="V55" s="1335" t="s">
        <v>272</v>
      </c>
      <c r="W55" s="1335" t="s">
        <v>266</v>
      </c>
      <c r="X55" s="923" t="s">
        <v>272</v>
      </c>
      <c r="Y55" s="923" t="s">
        <v>272</v>
      </c>
      <c r="Z55" s="923" t="s">
        <v>272</v>
      </c>
      <c r="AA55" s="1335" t="s">
        <v>266</v>
      </c>
      <c r="AB55" s="1335" t="s">
        <v>266</v>
      </c>
      <c r="AC55" s="1335" t="s">
        <v>266</v>
      </c>
      <c r="AD55" s="1335" t="s">
        <v>272</v>
      </c>
      <c r="AE55" s="1335" t="s">
        <v>272</v>
      </c>
      <c r="AF55" s="1335" t="s">
        <v>272</v>
      </c>
      <c r="AG55" s="1335" t="s">
        <v>272</v>
      </c>
      <c r="AH55" s="1335" t="s">
        <v>272</v>
      </c>
      <c r="AI55" s="1335" t="s">
        <v>272</v>
      </c>
      <c r="AJ55" s="1335" t="s">
        <v>272</v>
      </c>
      <c r="AK55" s="1335" t="s">
        <v>272</v>
      </c>
      <c r="AL55" s="1335" t="s">
        <v>272</v>
      </c>
      <c r="AM55" s="1335" t="s">
        <v>266</v>
      </c>
      <c r="AN55" s="1335" t="s">
        <v>266</v>
      </c>
      <c r="AO55" s="924" t="s">
        <v>691</v>
      </c>
    </row>
    <row r="56" s="694" customFormat="1" ht="26" spans="1:42">
      <c r="A56" s="853">
        <v>40</v>
      </c>
      <c r="B56" s="1335" t="s">
        <v>700</v>
      </c>
      <c r="C56" s="916" t="s">
        <v>701</v>
      </c>
      <c r="D56" s="916" t="s">
        <v>702</v>
      </c>
      <c r="E56" s="916" t="s">
        <v>282</v>
      </c>
      <c r="F56" s="917" t="s">
        <v>272</v>
      </c>
      <c r="G56" s="918" t="s">
        <v>476</v>
      </c>
      <c r="H56" s="919" t="s">
        <v>703</v>
      </c>
      <c r="I56" s="920" t="s">
        <v>469</v>
      </c>
      <c r="J56" s="920" t="s">
        <v>469</v>
      </c>
      <c r="K56" s="916" t="s">
        <v>701</v>
      </c>
      <c r="L56" s="916" t="s">
        <v>702</v>
      </c>
      <c r="M56" s="712" t="s">
        <v>193</v>
      </c>
      <c r="N56" s="712" t="s">
        <v>193</v>
      </c>
      <c r="O56" s="465" t="s">
        <v>470</v>
      </c>
      <c r="P56" s="1335" t="s">
        <v>193</v>
      </c>
      <c r="Q56" s="1335" t="s">
        <v>193</v>
      </c>
      <c r="R56" s="921" t="s">
        <v>193</v>
      </c>
      <c r="S56" s="1335" t="s">
        <v>99</v>
      </c>
      <c r="T56" s="1336" t="s">
        <v>520</v>
      </c>
      <c r="U56" s="1335" t="s">
        <v>266</v>
      </c>
      <c r="V56" s="1335" t="s">
        <v>272</v>
      </c>
      <c r="W56" s="1335" t="s">
        <v>266</v>
      </c>
      <c r="X56" s="923" t="s">
        <v>272</v>
      </c>
      <c r="Y56" s="923" t="s">
        <v>272</v>
      </c>
      <c r="Z56" s="923" t="s">
        <v>272</v>
      </c>
      <c r="AA56" s="1335" t="s">
        <v>266</v>
      </c>
      <c r="AB56" s="1335" t="s">
        <v>266</v>
      </c>
      <c r="AC56" s="1335" t="s">
        <v>266</v>
      </c>
      <c r="AD56" s="1335" t="s">
        <v>272</v>
      </c>
      <c r="AE56" s="1335" t="s">
        <v>272</v>
      </c>
      <c r="AF56" s="1335" t="s">
        <v>272</v>
      </c>
      <c r="AG56" s="1335" t="s">
        <v>272</v>
      </c>
      <c r="AH56" s="1335" t="s">
        <v>272</v>
      </c>
      <c r="AI56" s="1335" t="s">
        <v>272</v>
      </c>
      <c r="AJ56" s="1335" t="s">
        <v>272</v>
      </c>
      <c r="AK56" s="1335" t="s">
        <v>272</v>
      </c>
      <c r="AL56" s="1335" t="s">
        <v>272</v>
      </c>
      <c r="AM56" s="1335" t="s">
        <v>266</v>
      </c>
      <c r="AN56" s="1335" t="s">
        <v>266</v>
      </c>
      <c r="AO56" s="924" t="s">
        <v>691</v>
      </c>
    </row>
    <row r="57" s="694" customFormat="1" ht="14.5" spans="1:42">
      <c r="A57" s="853">
        <v>41</v>
      </c>
      <c r="B57" s="1335" t="s">
        <v>704</v>
      </c>
      <c r="C57" s="916" t="s">
        <v>705</v>
      </c>
      <c r="D57" s="916" t="s">
        <v>706</v>
      </c>
      <c r="E57" s="916" t="s">
        <v>282</v>
      </c>
      <c r="F57" s="917" t="s">
        <v>272</v>
      </c>
      <c r="G57" s="918" t="s">
        <v>476</v>
      </c>
      <c r="H57" s="919" t="s">
        <v>703</v>
      </c>
      <c r="I57" s="920" t="s">
        <v>469</v>
      </c>
      <c r="J57" s="920" t="s">
        <v>469</v>
      </c>
      <c r="K57" s="916" t="s">
        <v>705</v>
      </c>
      <c r="L57" s="916" t="s">
        <v>706</v>
      </c>
      <c r="M57" s="712" t="s">
        <v>193</v>
      </c>
      <c r="N57" s="712" t="s">
        <v>193</v>
      </c>
      <c r="O57" s="465" t="s">
        <v>470</v>
      </c>
      <c r="P57" s="1335" t="s">
        <v>193</v>
      </c>
      <c r="Q57" s="1335" t="s">
        <v>193</v>
      </c>
      <c r="R57" s="921" t="s">
        <v>193</v>
      </c>
      <c r="S57" s="1335" t="s">
        <v>604</v>
      </c>
      <c r="T57" s="1336" t="s">
        <v>520</v>
      </c>
      <c r="U57" s="1335" t="s">
        <v>266</v>
      </c>
      <c r="V57" s="1335" t="s">
        <v>272</v>
      </c>
      <c r="W57" s="1335" t="s">
        <v>266</v>
      </c>
      <c r="X57" s="923" t="s">
        <v>272</v>
      </c>
      <c r="Y57" s="923" t="s">
        <v>272</v>
      </c>
      <c r="Z57" s="923" t="s">
        <v>272</v>
      </c>
      <c r="AA57" s="1335" t="s">
        <v>266</v>
      </c>
      <c r="AB57" s="1335" t="s">
        <v>266</v>
      </c>
      <c r="AC57" s="1335" t="s">
        <v>266</v>
      </c>
      <c r="AD57" s="1335" t="s">
        <v>272</v>
      </c>
      <c r="AE57" s="1335" t="s">
        <v>272</v>
      </c>
      <c r="AF57" s="1335" t="s">
        <v>272</v>
      </c>
      <c r="AG57" s="1335" t="s">
        <v>272</v>
      </c>
      <c r="AH57" s="1335" t="s">
        <v>272</v>
      </c>
      <c r="AI57" s="1335" t="s">
        <v>272</v>
      </c>
      <c r="AJ57" s="1335" t="s">
        <v>272</v>
      </c>
      <c r="AK57" s="1335" t="s">
        <v>272</v>
      </c>
      <c r="AL57" s="1335" t="s">
        <v>272</v>
      </c>
      <c r="AM57" s="1335" t="s">
        <v>266</v>
      </c>
      <c r="AN57" s="1335" t="s">
        <v>266</v>
      </c>
      <c r="AO57" s="924" t="s">
        <v>691</v>
      </c>
    </row>
    <row r="58" s="694" customFormat="1" ht="28.75" customHeight="1" spans="1:42">
      <c r="A58" s="853">
        <v>42</v>
      </c>
      <c r="B58" s="1335" t="s">
        <v>707</v>
      </c>
      <c r="C58" s="925" t="s">
        <v>708</v>
      </c>
      <c r="D58" s="925" t="s">
        <v>709</v>
      </c>
      <c r="E58" s="916" t="s">
        <v>282</v>
      </c>
      <c r="F58" s="917" t="s">
        <v>272</v>
      </c>
      <c r="G58" s="918" t="s">
        <v>476</v>
      </c>
      <c r="H58" s="912">
        <v>1</v>
      </c>
      <c r="I58" s="926" t="s">
        <v>618</v>
      </c>
      <c r="J58" s="920" t="s">
        <v>469</v>
      </c>
      <c r="K58" s="925" t="s">
        <v>708</v>
      </c>
      <c r="L58" s="925" t="s">
        <v>709</v>
      </c>
      <c r="M58" s="712" t="s">
        <v>193</v>
      </c>
      <c r="N58" s="712" t="s">
        <v>193</v>
      </c>
      <c r="O58" s="465" t="s">
        <v>470</v>
      </c>
      <c r="P58" s="1335" t="s">
        <v>710</v>
      </c>
      <c r="Q58" s="1335" t="s">
        <v>711</v>
      </c>
      <c r="R58" s="921" t="s">
        <v>193</v>
      </c>
      <c r="S58" s="1335" t="s">
        <v>604</v>
      </c>
      <c r="T58" s="1336" t="s">
        <v>520</v>
      </c>
      <c r="U58" s="1335" t="s">
        <v>266</v>
      </c>
      <c r="V58" s="1335" t="s">
        <v>272</v>
      </c>
      <c r="W58" s="1335" t="s">
        <v>266</v>
      </c>
      <c r="X58" s="923" t="s">
        <v>272</v>
      </c>
      <c r="Y58" s="923" t="s">
        <v>272</v>
      </c>
      <c r="Z58" s="923" t="s">
        <v>272</v>
      </c>
      <c r="AA58" s="1335" t="s">
        <v>266</v>
      </c>
      <c r="AB58" s="1335" t="s">
        <v>266</v>
      </c>
      <c r="AC58" s="1335" t="s">
        <v>266</v>
      </c>
      <c r="AD58" s="1335" t="s">
        <v>272</v>
      </c>
      <c r="AE58" s="1335" t="s">
        <v>272</v>
      </c>
      <c r="AF58" s="1335" t="s">
        <v>272</v>
      </c>
      <c r="AG58" s="1335" t="s">
        <v>272</v>
      </c>
      <c r="AH58" s="1335" t="s">
        <v>272</v>
      </c>
      <c r="AI58" s="1335" t="s">
        <v>272</v>
      </c>
      <c r="AJ58" s="1335" t="s">
        <v>272</v>
      </c>
      <c r="AK58" s="1335" t="s">
        <v>272</v>
      </c>
      <c r="AL58" s="1335" t="s">
        <v>272</v>
      </c>
      <c r="AM58" s="1335" t="s">
        <v>266</v>
      </c>
      <c r="AN58" s="1335" t="s">
        <v>266</v>
      </c>
      <c r="AO58" s="924" t="s">
        <v>691</v>
      </c>
    </row>
    <row r="59" s="694" customFormat="1" ht="52" spans="1:42">
      <c r="A59" s="853">
        <v>43</v>
      </c>
      <c r="B59" s="706" t="s">
        <v>712</v>
      </c>
      <c r="C59" s="707" t="s">
        <v>713</v>
      </c>
      <c r="D59" s="707" t="s">
        <v>714</v>
      </c>
      <c r="E59" s="707" t="s">
        <v>282</v>
      </c>
      <c r="F59" s="917" t="s">
        <v>272</v>
      </c>
      <c r="G59" s="756" t="s">
        <v>467</v>
      </c>
      <c r="H59" s="709">
        <v>1</v>
      </c>
      <c r="I59" s="706">
        <v>0</v>
      </c>
      <c r="J59" s="920" t="s">
        <v>469</v>
      </c>
      <c r="K59" s="707" t="s">
        <v>713</v>
      </c>
      <c r="L59" s="707" t="s">
        <v>714</v>
      </c>
      <c r="M59" s="712" t="s">
        <v>193</v>
      </c>
      <c r="N59" s="712" t="s">
        <v>193</v>
      </c>
      <c r="O59" s="706" t="s">
        <v>470</v>
      </c>
      <c r="P59" s="707" t="s">
        <v>715</v>
      </c>
      <c r="Q59" s="707" t="s">
        <v>715</v>
      </c>
      <c r="R59" s="706" t="s">
        <v>193</v>
      </c>
      <c r="S59" s="713" t="s">
        <v>604</v>
      </c>
      <c r="T59" s="927" t="s">
        <v>471</v>
      </c>
      <c r="U59" s="713" t="s">
        <v>266</v>
      </c>
      <c r="V59" s="713" t="s">
        <v>272</v>
      </c>
      <c r="W59" s="713" t="s">
        <v>266</v>
      </c>
      <c r="X59" s="713" t="s">
        <v>272</v>
      </c>
      <c r="Y59" s="713" t="s">
        <v>272</v>
      </c>
      <c r="Z59" s="713" t="s">
        <v>272</v>
      </c>
      <c r="AA59" s="713" t="s">
        <v>266</v>
      </c>
      <c r="AB59" s="713" t="s">
        <v>266</v>
      </c>
      <c r="AC59" s="713" t="s">
        <v>266</v>
      </c>
      <c r="AD59" s="713" t="s">
        <v>272</v>
      </c>
      <c r="AE59" s="713" t="s">
        <v>272</v>
      </c>
      <c r="AF59" s="713" t="s">
        <v>266</v>
      </c>
      <c r="AG59" s="713" t="s">
        <v>272</v>
      </c>
      <c r="AH59" s="713" t="s">
        <v>272</v>
      </c>
      <c r="AI59" s="713" t="s">
        <v>272</v>
      </c>
      <c r="AJ59" s="713" t="s">
        <v>272</v>
      </c>
      <c r="AK59" s="713" t="s">
        <v>266</v>
      </c>
      <c r="AL59" s="713" t="s">
        <v>272</v>
      </c>
      <c r="AM59" s="713" t="s">
        <v>266</v>
      </c>
      <c r="AN59" s="713" t="s">
        <v>266</v>
      </c>
      <c r="AO59" s="928" t="s">
        <v>716</v>
      </c>
    </row>
    <row r="60" s="694" customFormat="1" ht="12" customHeight="1" spans="1:42">
      <c r="A60" s="731">
        <v>44</v>
      </c>
      <c r="B60" s="759" t="s">
        <v>717</v>
      </c>
      <c r="C60" s="929" t="s">
        <v>718</v>
      </c>
      <c r="D60" s="929" t="s">
        <v>719</v>
      </c>
      <c r="E60" s="762" t="s">
        <v>282</v>
      </c>
      <c r="F60" s="745" t="s">
        <v>272</v>
      </c>
      <c r="G60" s="754" t="s">
        <v>476</v>
      </c>
      <c r="H60" s="930" t="s">
        <v>387</v>
      </c>
      <c r="I60" s="926" t="s">
        <v>618</v>
      </c>
      <c r="J60" s="926" t="s">
        <v>720</v>
      </c>
      <c r="K60" s="926" t="s">
        <v>721</v>
      </c>
      <c r="L60" s="931" t="s">
        <v>722</v>
      </c>
      <c r="M60" s="931" t="s">
        <v>618</v>
      </c>
      <c r="N60" s="931" t="s">
        <v>618</v>
      </c>
      <c r="O60" s="706" t="s">
        <v>470</v>
      </c>
      <c r="P60" s="1335" t="s">
        <v>193</v>
      </c>
      <c r="Q60" s="1335" t="s">
        <v>193</v>
      </c>
      <c r="R60" s="932" t="s">
        <v>618</v>
      </c>
      <c r="S60" s="888" t="s">
        <v>93</v>
      </c>
      <c r="T60" s="933" t="s">
        <v>471</v>
      </c>
      <c r="U60" s="934" t="s">
        <v>266</v>
      </c>
      <c r="V60" s="934" t="s">
        <v>272</v>
      </c>
      <c r="W60" s="934" t="s">
        <v>266</v>
      </c>
      <c r="X60" s="934" t="s">
        <v>272</v>
      </c>
      <c r="Y60" s="934" t="s">
        <v>272</v>
      </c>
      <c r="Z60" s="934" t="s">
        <v>272</v>
      </c>
      <c r="AA60" s="934" t="s">
        <v>266</v>
      </c>
      <c r="AB60" s="934" t="s">
        <v>266</v>
      </c>
      <c r="AC60" s="934" t="s">
        <v>266</v>
      </c>
      <c r="AD60" s="934" t="s">
        <v>272</v>
      </c>
      <c r="AE60" s="934" t="s">
        <v>272</v>
      </c>
      <c r="AF60" s="934" t="s">
        <v>272</v>
      </c>
      <c r="AG60" s="934" t="s">
        <v>272</v>
      </c>
      <c r="AH60" s="934" t="s">
        <v>272</v>
      </c>
      <c r="AI60" s="934" t="s">
        <v>272</v>
      </c>
      <c r="AJ60" s="934" t="s">
        <v>272</v>
      </c>
      <c r="AK60" s="934" t="s">
        <v>272</v>
      </c>
      <c r="AL60" s="934" t="s">
        <v>272</v>
      </c>
      <c r="AM60" s="934" t="s">
        <v>266</v>
      </c>
      <c r="AN60" s="934" t="s">
        <v>266</v>
      </c>
      <c r="AO60" s="935"/>
    </row>
    <row r="61" s="694" customFormat="1" ht="26" spans="1:42">
      <c r="A61" s="895"/>
      <c r="B61" s="936"/>
      <c r="C61" s="937"/>
      <c r="D61" s="937"/>
      <c r="E61" s="938"/>
      <c r="F61" s="822"/>
      <c r="G61" s="842"/>
      <c r="H61" s="939"/>
      <c r="I61" s="926" t="s">
        <v>384</v>
      </c>
      <c r="J61" s="926" t="s">
        <v>720</v>
      </c>
      <c r="K61" s="926" t="s">
        <v>718</v>
      </c>
      <c r="L61" s="931" t="s">
        <v>723</v>
      </c>
      <c r="M61" s="712" t="s">
        <v>193</v>
      </c>
      <c r="N61" s="712" t="s">
        <v>193</v>
      </c>
      <c r="O61" s="706" t="s">
        <v>470</v>
      </c>
      <c r="P61" s="940" t="s">
        <v>724</v>
      </c>
      <c r="Q61" s="940" t="s">
        <v>724</v>
      </c>
      <c r="R61" s="932" t="s">
        <v>384</v>
      </c>
      <c r="S61" s="888" t="s">
        <v>604</v>
      </c>
      <c r="T61" s="941"/>
      <c r="U61" s="942"/>
      <c r="V61" s="942"/>
      <c r="W61" s="942"/>
      <c r="X61" s="942"/>
      <c r="Y61" s="942"/>
      <c r="Z61" s="942"/>
      <c r="AA61" s="942"/>
      <c r="AB61" s="942"/>
      <c r="AC61" s="942"/>
      <c r="AD61" s="942"/>
      <c r="AE61" s="942"/>
      <c r="AF61" s="942"/>
      <c r="AG61" s="942"/>
      <c r="AH61" s="942"/>
      <c r="AI61" s="942"/>
      <c r="AJ61" s="942"/>
      <c r="AK61" s="942"/>
      <c r="AL61" s="942"/>
      <c r="AM61" s="942"/>
      <c r="AN61" s="942"/>
      <c r="AO61" s="943"/>
    </row>
    <row r="62" s="694" customFormat="1" ht="12" customHeight="1" spans="1:42">
      <c r="A62" s="731">
        <v>45</v>
      </c>
      <c r="B62" s="759" t="s">
        <v>725</v>
      </c>
      <c r="C62" s="762" t="s">
        <v>726</v>
      </c>
      <c r="D62" s="762" t="s">
        <v>727</v>
      </c>
      <c r="E62" s="762" t="s">
        <v>282</v>
      </c>
      <c r="F62" s="745" t="s">
        <v>272</v>
      </c>
      <c r="G62" s="754" t="s">
        <v>476</v>
      </c>
      <c r="H62" s="930" t="s">
        <v>387</v>
      </c>
      <c r="I62" s="926" t="s">
        <v>618</v>
      </c>
      <c r="J62" s="926" t="s">
        <v>720</v>
      </c>
      <c r="K62" s="926" t="s">
        <v>721</v>
      </c>
      <c r="L62" s="931" t="s">
        <v>722</v>
      </c>
      <c r="M62" s="931" t="s">
        <v>618</v>
      </c>
      <c r="N62" s="931" t="s">
        <v>618</v>
      </c>
      <c r="O62" s="706" t="s">
        <v>470</v>
      </c>
      <c r="P62" s="1335" t="s">
        <v>193</v>
      </c>
      <c r="Q62" s="1335" t="s">
        <v>193</v>
      </c>
      <c r="R62" s="932" t="s">
        <v>618</v>
      </c>
      <c r="S62" s="888" t="s">
        <v>93</v>
      </c>
      <c r="T62" s="933" t="s">
        <v>471</v>
      </c>
      <c r="U62" s="934" t="s">
        <v>266</v>
      </c>
      <c r="V62" s="934" t="s">
        <v>272</v>
      </c>
      <c r="W62" s="934" t="s">
        <v>266</v>
      </c>
      <c r="X62" s="934" t="s">
        <v>272</v>
      </c>
      <c r="Y62" s="934" t="s">
        <v>272</v>
      </c>
      <c r="Z62" s="934" t="s">
        <v>272</v>
      </c>
      <c r="AA62" s="934" t="s">
        <v>266</v>
      </c>
      <c r="AB62" s="934" t="s">
        <v>266</v>
      </c>
      <c r="AC62" s="934" t="s">
        <v>266</v>
      </c>
      <c r="AD62" s="934" t="s">
        <v>272</v>
      </c>
      <c r="AE62" s="934" t="s">
        <v>272</v>
      </c>
      <c r="AF62" s="934" t="s">
        <v>272</v>
      </c>
      <c r="AG62" s="934" t="s">
        <v>272</v>
      </c>
      <c r="AH62" s="934" t="s">
        <v>272</v>
      </c>
      <c r="AI62" s="934" t="s">
        <v>272</v>
      </c>
      <c r="AJ62" s="934" t="s">
        <v>272</v>
      </c>
      <c r="AK62" s="934" t="s">
        <v>272</v>
      </c>
      <c r="AL62" s="934" t="s">
        <v>272</v>
      </c>
      <c r="AM62" s="934" t="s">
        <v>266</v>
      </c>
      <c r="AN62" s="934" t="s">
        <v>266</v>
      </c>
      <c r="AO62" s="935"/>
    </row>
    <row r="63" s="694" customFormat="1" ht="12" customHeight="1" spans="1:42">
      <c r="A63" s="895"/>
      <c r="B63" s="936"/>
      <c r="C63" s="938"/>
      <c r="D63" s="938"/>
      <c r="E63" s="938"/>
      <c r="F63" s="822"/>
      <c r="G63" s="842"/>
      <c r="H63" s="939"/>
      <c r="I63" s="926" t="s">
        <v>384</v>
      </c>
      <c r="J63" s="926" t="s">
        <v>720</v>
      </c>
      <c r="K63" s="926" t="s">
        <v>726</v>
      </c>
      <c r="L63" s="931" t="s">
        <v>728</v>
      </c>
      <c r="M63" s="931" t="s">
        <v>618</v>
      </c>
      <c r="N63" s="931" t="s">
        <v>729</v>
      </c>
      <c r="O63" s="706" t="s">
        <v>470</v>
      </c>
      <c r="P63" s="1335" t="s">
        <v>193</v>
      </c>
      <c r="Q63" s="1335" t="s">
        <v>193</v>
      </c>
      <c r="R63" s="932" t="s">
        <v>618</v>
      </c>
      <c r="S63" s="888" t="s">
        <v>93</v>
      </c>
      <c r="T63" s="941"/>
      <c r="U63" s="942"/>
      <c r="V63" s="942"/>
      <c r="W63" s="942"/>
      <c r="X63" s="942"/>
      <c r="Y63" s="942"/>
      <c r="Z63" s="942"/>
      <c r="AA63" s="942"/>
      <c r="AB63" s="942"/>
      <c r="AC63" s="942"/>
      <c r="AD63" s="942"/>
      <c r="AE63" s="942"/>
      <c r="AF63" s="942"/>
      <c r="AG63" s="942"/>
      <c r="AH63" s="942"/>
      <c r="AI63" s="942"/>
      <c r="AJ63" s="942"/>
      <c r="AK63" s="942"/>
      <c r="AL63" s="942"/>
      <c r="AM63" s="942"/>
      <c r="AN63" s="942"/>
      <c r="AO63" s="943"/>
    </row>
    <row r="64" s="694" customFormat="1" ht="12" customHeight="1" spans="1:42">
      <c r="A64" s="731">
        <v>46</v>
      </c>
      <c r="B64" s="759" t="s">
        <v>730</v>
      </c>
      <c r="C64" s="929" t="s">
        <v>731</v>
      </c>
      <c r="D64" s="929" t="s">
        <v>732</v>
      </c>
      <c r="E64" s="762" t="s">
        <v>282</v>
      </c>
      <c r="F64" s="745" t="s">
        <v>272</v>
      </c>
      <c r="G64" s="754" t="s">
        <v>476</v>
      </c>
      <c r="H64" s="930" t="s">
        <v>387</v>
      </c>
      <c r="I64" s="926" t="s">
        <v>618</v>
      </c>
      <c r="J64" s="926" t="s">
        <v>720</v>
      </c>
      <c r="K64" s="926" t="s">
        <v>721</v>
      </c>
      <c r="L64" s="931" t="s">
        <v>722</v>
      </c>
      <c r="M64" s="931" t="s">
        <v>618</v>
      </c>
      <c r="N64" s="931" t="s">
        <v>618</v>
      </c>
      <c r="O64" s="706" t="s">
        <v>470</v>
      </c>
      <c r="P64" s="1335" t="s">
        <v>193</v>
      </c>
      <c r="Q64" s="1335" t="s">
        <v>193</v>
      </c>
      <c r="R64" s="932" t="s">
        <v>618</v>
      </c>
      <c r="S64" s="888" t="s">
        <v>93</v>
      </c>
      <c r="T64" s="933" t="s">
        <v>471</v>
      </c>
      <c r="U64" s="934" t="s">
        <v>266</v>
      </c>
      <c r="V64" s="934" t="s">
        <v>272</v>
      </c>
      <c r="W64" s="934" t="s">
        <v>266</v>
      </c>
      <c r="X64" s="934" t="s">
        <v>272</v>
      </c>
      <c r="Y64" s="934" t="s">
        <v>272</v>
      </c>
      <c r="Z64" s="934" t="s">
        <v>272</v>
      </c>
      <c r="AA64" s="934" t="s">
        <v>266</v>
      </c>
      <c r="AB64" s="934" t="s">
        <v>266</v>
      </c>
      <c r="AC64" s="934" t="s">
        <v>266</v>
      </c>
      <c r="AD64" s="934" t="s">
        <v>272</v>
      </c>
      <c r="AE64" s="934" t="s">
        <v>272</v>
      </c>
      <c r="AF64" s="934" t="s">
        <v>272</v>
      </c>
      <c r="AG64" s="934" t="s">
        <v>272</v>
      </c>
      <c r="AH64" s="934" t="s">
        <v>272</v>
      </c>
      <c r="AI64" s="934" t="s">
        <v>272</v>
      </c>
      <c r="AJ64" s="934" t="s">
        <v>272</v>
      </c>
      <c r="AK64" s="934" t="s">
        <v>272</v>
      </c>
      <c r="AL64" s="934" t="s">
        <v>272</v>
      </c>
      <c r="AM64" s="934" t="s">
        <v>266</v>
      </c>
      <c r="AN64" s="934" t="s">
        <v>266</v>
      </c>
      <c r="AO64" s="935"/>
    </row>
    <row r="65" s="694" customFormat="1" ht="78" spans="1:41">
      <c r="A65" s="895"/>
      <c r="B65" s="936"/>
      <c r="C65" s="937"/>
      <c r="D65" s="937"/>
      <c r="E65" s="938"/>
      <c r="F65" s="822"/>
      <c r="G65" s="842"/>
      <c r="H65" s="939"/>
      <c r="I65" s="926" t="s">
        <v>384</v>
      </c>
      <c r="J65" s="926" t="s">
        <v>720</v>
      </c>
      <c r="K65" s="926" t="s">
        <v>731</v>
      </c>
      <c r="L65" s="931" t="s">
        <v>732</v>
      </c>
      <c r="M65" s="712" t="s">
        <v>193</v>
      </c>
      <c r="N65" s="712" t="s">
        <v>193</v>
      </c>
      <c r="O65" s="706" t="s">
        <v>470</v>
      </c>
      <c r="P65" s="940" t="s">
        <v>733</v>
      </c>
      <c r="Q65" s="940" t="s">
        <v>733</v>
      </c>
      <c r="R65" s="932" t="s">
        <v>618</v>
      </c>
      <c r="S65" s="888" t="s">
        <v>604</v>
      </c>
      <c r="T65" s="941"/>
      <c r="U65" s="942"/>
      <c r="V65" s="942"/>
      <c r="W65" s="942"/>
      <c r="X65" s="942"/>
      <c r="Y65" s="942"/>
      <c r="Z65" s="942"/>
      <c r="AA65" s="942"/>
      <c r="AB65" s="942"/>
      <c r="AC65" s="942"/>
      <c r="AD65" s="942"/>
      <c r="AE65" s="942"/>
      <c r="AF65" s="942"/>
      <c r="AG65" s="942"/>
      <c r="AH65" s="942"/>
      <c r="AI65" s="942"/>
      <c r="AJ65" s="942"/>
      <c r="AK65" s="942"/>
      <c r="AL65" s="942"/>
      <c r="AM65" s="942"/>
      <c r="AN65" s="942"/>
      <c r="AO65" s="943"/>
    </row>
    <row r="66" ht="39" spans="1:41">
      <c r="A66" s="944">
        <v>47</v>
      </c>
      <c r="B66" s="945" t="s">
        <v>734</v>
      </c>
      <c r="C66" s="946" t="s">
        <v>735</v>
      </c>
      <c r="D66" s="946" t="s">
        <v>736</v>
      </c>
      <c r="E66" s="946" t="s">
        <v>282</v>
      </c>
      <c r="F66" s="946" t="s">
        <v>266</v>
      </c>
      <c r="G66" s="946" t="s">
        <v>476</v>
      </c>
      <c r="H66" s="945">
        <v>1</v>
      </c>
      <c r="I66" s="945" t="s">
        <v>469</v>
      </c>
      <c r="J66" s="945" t="s">
        <v>469</v>
      </c>
      <c r="K66" s="946" t="s">
        <v>735</v>
      </c>
      <c r="L66" s="946" t="s">
        <v>736</v>
      </c>
      <c r="M66" s="947" t="s">
        <v>263</v>
      </c>
      <c r="N66" s="947" t="s">
        <v>273</v>
      </c>
      <c r="O66" s="945" t="s">
        <v>470</v>
      </c>
      <c r="P66" s="946" t="s">
        <v>737</v>
      </c>
      <c r="Q66" s="946" t="s">
        <v>738</v>
      </c>
      <c r="R66" s="946" t="s">
        <v>193</v>
      </c>
      <c r="S66" s="946" t="s">
        <v>604</v>
      </c>
      <c r="T66" s="946" t="s">
        <v>739</v>
      </c>
      <c r="U66" s="946" t="s">
        <v>266</v>
      </c>
      <c r="V66" s="946" t="s">
        <v>266</v>
      </c>
      <c r="W66" s="946" t="s">
        <v>266</v>
      </c>
      <c r="X66" s="946" t="s">
        <v>266</v>
      </c>
      <c r="Y66" s="946" t="s">
        <v>266</v>
      </c>
      <c r="Z66" s="946" t="s">
        <v>266</v>
      </c>
      <c r="AA66" s="946" t="s">
        <v>266</v>
      </c>
      <c r="AB66" s="946" t="s">
        <v>266</v>
      </c>
      <c r="AC66" s="946" t="s">
        <v>266</v>
      </c>
      <c r="AD66" s="946" t="s">
        <v>272</v>
      </c>
      <c r="AE66" s="946" t="s">
        <v>272</v>
      </c>
      <c r="AF66" s="946" t="s">
        <v>272</v>
      </c>
      <c r="AG66" s="946" t="s">
        <v>272</v>
      </c>
      <c r="AH66" s="946" t="s">
        <v>272</v>
      </c>
      <c r="AI66" s="946" t="s">
        <v>272</v>
      </c>
      <c r="AJ66" s="946" t="s">
        <v>272</v>
      </c>
      <c r="AK66" s="946" t="s">
        <v>272</v>
      </c>
      <c r="AL66" s="946" t="s">
        <v>272</v>
      </c>
      <c r="AM66" s="946" t="s">
        <v>266</v>
      </c>
      <c r="AN66" s="946" t="s">
        <v>266</v>
      </c>
      <c r="AO66" s="946" t="s">
        <v>740</v>
      </c>
    </row>
  </sheetData>
  <sheetProtection selectLockedCells="1" formatCells="0" formatColumns="0" formatRows="0" insertRows="0" insertColumns="0" insertHyperlinks="0" deleteColumns="0" deleteRows="0" sort="0" autoFilter="0" pivotTables="0"/>
  <mergeCells count="303">
    <mergeCell ref="U4:AC4"/>
    <mergeCell ref="AD4:AL4"/>
    <mergeCell ref="U5:W5"/>
    <mergeCell ref="X5:Z5"/>
    <mergeCell ref="AA5:AC5"/>
    <mergeCell ref="AD5:AF5"/>
    <mergeCell ref="AG5:AI5"/>
    <mergeCell ref="AJ5:AL5"/>
    <mergeCell ref="A4:A6"/>
    <mergeCell ref="A16:A17"/>
    <mergeCell ref="A18:A19"/>
    <mergeCell ref="A20:A21"/>
    <mergeCell ref="A22:A25"/>
    <mergeCell ref="A30:A33"/>
    <mergeCell ref="A37:A38"/>
    <mergeCell ref="A60:A61"/>
    <mergeCell ref="A62:A63"/>
    <mergeCell ref="A64:A65"/>
    <mergeCell ref="B4:B6"/>
    <mergeCell ref="B16:B17"/>
    <mergeCell ref="B18:B19"/>
    <mergeCell ref="B20:B21"/>
    <mergeCell ref="B22:B25"/>
    <mergeCell ref="B30:B33"/>
    <mergeCell ref="B37:B38"/>
    <mergeCell ref="B60:B61"/>
    <mergeCell ref="B62:B63"/>
    <mergeCell ref="B64:B65"/>
    <mergeCell ref="C4:C6"/>
    <mergeCell ref="C16:C17"/>
    <mergeCell ref="C18:C19"/>
    <mergeCell ref="C20:C21"/>
    <mergeCell ref="C22:C25"/>
    <mergeCell ref="C30:C33"/>
    <mergeCell ref="C37:C38"/>
    <mergeCell ref="C60:C61"/>
    <mergeCell ref="C62:C63"/>
    <mergeCell ref="C64:C65"/>
    <mergeCell ref="D4:D6"/>
    <mergeCell ref="D16:D17"/>
    <mergeCell ref="D18:D19"/>
    <mergeCell ref="D20:D21"/>
    <mergeCell ref="D22:D25"/>
    <mergeCell ref="D30:D33"/>
    <mergeCell ref="D37:D38"/>
    <mergeCell ref="D60:D61"/>
    <mergeCell ref="D62:D63"/>
    <mergeCell ref="D64:D65"/>
    <mergeCell ref="E4:E6"/>
    <mergeCell ref="E16:E17"/>
    <mergeCell ref="E18:E19"/>
    <mergeCell ref="E20:E21"/>
    <mergeCell ref="E22:E25"/>
    <mergeCell ref="E30:E33"/>
    <mergeCell ref="E37:E38"/>
    <mergeCell ref="E60:E61"/>
    <mergeCell ref="E62:E63"/>
    <mergeCell ref="E64:E65"/>
    <mergeCell ref="F4:F6"/>
    <mergeCell ref="F16:F17"/>
    <mergeCell ref="F18:F19"/>
    <mergeCell ref="F20:F21"/>
    <mergeCell ref="F22:F25"/>
    <mergeCell ref="F30:F33"/>
    <mergeCell ref="F37:F38"/>
    <mergeCell ref="F60:F61"/>
    <mergeCell ref="F62:F63"/>
    <mergeCell ref="F64:F65"/>
    <mergeCell ref="G4:G6"/>
    <mergeCell ref="G16:G17"/>
    <mergeCell ref="G18:G19"/>
    <mergeCell ref="G20:G21"/>
    <mergeCell ref="G22:G25"/>
    <mergeCell ref="G30:G33"/>
    <mergeCell ref="G37:G38"/>
    <mergeCell ref="G60:G61"/>
    <mergeCell ref="G62:G63"/>
    <mergeCell ref="G64:G65"/>
    <mergeCell ref="H4:H6"/>
    <mergeCell ref="H16:H17"/>
    <mergeCell ref="H18:H19"/>
    <mergeCell ref="H20:H21"/>
    <mergeCell ref="H22:H25"/>
    <mergeCell ref="H30:H33"/>
    <mergeCell ref="H37:H38"/>
    <mergeCell ref="H60:H61"/>
    <mergeCell ref="H62:H63"/>
    <mergeCell ref="H64:H65"/>
    <mergeCell ref="I4:I6"/>
    <mergeCell ref="J4:J6"/>
    <mergeCell ref="K4:K6"/>
    <mergeCell ref="L4:L6"/>
    <mergeCell ref="M4:M6"/>
    <mergeCell ref="N4:N6"/>
    <mergeCell ref="O4:O6"/>
    <mergeCell ref="P4:P6"/>
    <mergeCell ref="Q4:Q6"/>
    <mergeCell ref="R4:R6"/>
    <mergeCell ref="S4:S6"/>
    <mergeCell ref="T4:T6"/>
    <mergeCell ref="T16:T17"/>
    <mergeCell ref="T18:T19"/>
    <mergeCell ref="T20:T21"/>
    <mergeCell ref="T22:T25"/>
    <mergeCell ref="T30:T33"/>
    <mergeCell ref="T60:T61"/>
    <mergeCell ref="T62:T63"/>
    <mergeCell ref="T64:T65"/>
    <mergeCell ref="U16:U17"/>
    <mergeCell ref="U18:U19"/>
    <mergeCell ref="U20:U21"/>
    <mergeCell ref="U22:U25"/>
    <mergeCell ref="U30:U33"/>
    <mergeCell ref="U37:U38"/>
    <mergeCell ref="U60:U61"/>
    <mergeCell ref="U62:U63"/>
    <mergeCell ref="U64:U65"/>
    <mergeCell ref="V16:V17"/>
    <mergeCell ref="V18:V19"/>
    <mergeCell ref="V20:V21"/>
    <mergeCell ref="V22:V25"/>
    <mergeCell ref="V30:V33"/>
    <mergeCell ref="V37:V38"/>
    <mergeCell ref="V60:V61"/>
    <mergeCell ref="V62:V63"/>
    <mergeCell ref="V64:V65"/>
    <mergeCell ref="W16:W17"/>
    <mergeCell ref="W18:W19"/>
    <mergeCell ref="W20:W21"/>
    <mergeCell ref="W22:W25"/>
    <mergeCell ref="W30:W33"/>
    <mergeCell ref="W37:W38"/>
    <mergeCell ref="W60:W61"/>
    <mergeCell ref="W62:W63"/>
    <mergeCell ref="W64:W65"/>
    <mergeCell ref="X16:X17"/>
    <mergeCell ref="X18:X19"/>
    <mergeCell ref="X20:X21"/>
    <mergeCell ref="X22:X25"/>
    <mergeCell ref="X30:X33"/>
    <mergeCell ref="X37:X38"/>
    <mergeCell ref="X60:X61"/>
    <mergeCell ref="X62:X63"/>
    <mergeCell ref="X64:X65"/>
    <mergeCell ref="Y16:Y17"/>
    <mergeCell ref="Y18:Y19"/>
    <mergeCell ref="Y20:Y21"/>
    <mergeCell ref="Y22:Y25"/>
    <mergeCell ref="Y30:Y33"/>
    <mergeCell ref="Y37:Y38"/>
    <mergeCell ref="Y60:Y61"/>
    <mergeCell ref="Y62:Y63"/>
    <mergeCell ref="Y64:Y65"/>
    <mergeCell ref="Z16:Z17"/>
    <mergeCell ref="Z18:Z19"/>
    <mergeCell ref="Z20:Z21"/>
    <mergeCell ref="Z22:Z25"/>
    <mergeCell ref="Z30:Z33"/>
    <mergeCell ref="Z37:Z38"/>
    <mergeCell ref="Z60:Z61"/>
    <mergeCell ref="Z62:Z63"/>
    <mergeCell ref="Z64:Z65"/>
    <mergeCell ref="AA16:AA17"/>
    <mergeCell ref="AA18:AA19"/>
    <mergeCell ref="AA20:AA21"/>
    <mergeCell ref="AA22:AA25"/>
    <mergeCell ref="AA30:AA33"/>
    <mergeCell ref="AA37:AA38"/>
    <mergeCell ref="AA60:AA61"/>
    <mergeCell ref="AA62:AA63"/>
    <mergeCell ref="AA64:AA65"/>
    <mergeCell ref="AB16:AB17"/>
    <mergeCell ref="AB18:AB19"/>
    <mergeCell ref="AB20:AB21"/>
    <mergeCell ref="AB22:AB25"/>
    <mergeCell ref="AB30:AB33"/>
    <mergeCell ref="AB37:AB38"/>
    <mergeCell ref="AB60:AB61"/>
    <mergeCell ref="AB62:AB63"/>
    <mergeCell ref="AB64:AB65"/>
    <mergeCell ref="AC16:AC17"/>
    <mergeCell ref="AC18:AC19"/>
    <mergeCell ref="AC20:AC21"/>
    <mergeCell ref="AC22:AC25"/>
    <mergeCell ref="AC30:AC33"/>
    <mergeCell ref="AC37:AC38"/>
    <mergeCell ref="AC60:AC61"/>
    <mergeCell ref="AC62:AC63"/>
    <mergeCell ref="AC64:AC65"/>
    <mergeCell ref="AD16:AD17"/>
    <mergeCell ref="AD18:AD19"/>
    <mergeCell ref="AD20:AD21"/>
    <mergeCell ref="AD22:AD25"/>
    <mergeCell ref="AD30:AD33"/>
    <mergeCell ref="AD37:AD38"/>
    <mergeCell ref="AD60:AD61"/>
    <mergeCell ref="AD62:AD63"/>
    <mergeCell ref="AD64:AD65"/>
    <mergeCell ref="AE16:AE17"/>
    <mergeCell ref="AE18:AE19"/>
    <mergeCell ref="AE20:AE21"/>
    <mergeCell ref="AE22:AE25"/>
    <mergeCell ref="AE30:AE33"/>
    <mergeCell ref="AE37:AE38"/>
    <mergeCell ref="AE60:AE61"/>
    <mergeCell ref="AE62:AE63"/>
    <mergeCell ref="AE64:AE65"/>
    <mergeCell ref="AF16:AF17"/>
    <mergeCell ref="AF18:AF19"/>
    <mergeCell ref="AF20:AF21"/>
    <mergeCell ref="AF22:AF25"/>
    <mergeCell ref="AF30:AF33"/>
    <mergeCell ref="AF37:AF38"/>
    <mergeCell ref="AF60:AF61"/>
    <mergeCell ref="AF62:AF63"/>
    <mergeCell ref="AF64:AF65"/>
    <mergeCell ref="AG16:AG17"/>
    <mergeCell ref="AG18:AG19"/>
    <mergeCell ref="AG20:AG21"/>
    <mergeCell ref="AG22:AG25"/>
    <mergeCell ref="AG30:AG33"/>
    <mergeCell ref="AG37:AG38"/>
    <mergeCell ref="AG60:AG61"/>
    <mergeCell ref="AG62:AG63"/>
    <mergeCell ref="AG64:AG65"/>
    <mergeCell ref="AH16:AH17"/>
    <mergeCell ref="AH18:AH19"/>
    <mergeCell ref="AH20:AH21"/>
    <mergeCell ref="AH22:AH25"/>
    <mergeCell ref="AH30:AH33"/>
    <mergeCell ref="AH37:AH38"/>
    <mergeCell ref="AH60:AH61"/>
    <mergeCell ref="AH62:AH63"/>
    <mergeCell ref="AH64:AH65"/>
    <mergeCell ref="AI16:AI17"/>
    <mergeCell ref="AI18:AI19"/>
    <mergeCell ref="AI20:AI21"/>
    <mergeCell ref="AI22:AI25"/>
    <mergeCell ref="AI30:AI33"/>
    <mergeCell ref="AI37:AI38"/>
    <mergeCell ref="AI60:AI61"/>
    <mergeCell ref="AI62:AI63"/>
    <mergeCell ref="AI64:AI65"/>
    <mergeCell ref="AJ16:AJ17"/>
    <mergeCell ref="AJ18:AJ19"/>
    <mergeCell ref="AJ20:AJ21"/>
    <mergeCell ref="AJ22:AJ25"/>
    <mergeCell ref="AJ30:AJ33"/>
    <mergeCell ref="AJ37:AJ38"/>
    <mergeCell ref="AJ60:AJ61"/>
    <mergeCell ref="AJ62:AJ63"/>
    <mergeCell ref="AJ64:AJ65"/>
    <mergeCell ref="AK16:AK17"/>
    <mergeCell ref="AK18:AK19"/>
    <mergeCell ref="AK20:AK21"/>
    <mergeCell ref="AK22:AK25"/>
    <mergeCell ref="AK30:AK33"/>
    <mergeCell ref="AK37:AK38"/>
    <mergeCell ref="AK60:AK61"/>
    <mergeCell ref="AK62:AK63"/>
    <mergeCell ref="AK64:AK65"/>
    <mergeCell ref="AL16:AL17"/>
    <mergeCell ref="AL18:AL19"/>
    <mergeCell ref="AL20:AL21"/>
    <mergeCell ref="AL22:AL25"/>
    <mergeCell ref="AL30:AL33"/>
    <mergeCell ref="AL37:AL38"/>
    <mergeCell ref="AL60:AL61"/>
    <mergeCell ref="AL62:AL63"/>
    <mergeCell ref="AL64:AL65"/>
    <mergeCell ref="AM4:AM6"/>
    <mergeCell ref="AM16:AM17"/>
    <mergeCell ref="AM18:AM19"/>
    <mergeCell ref="AM20:AM21"/>
    <mergeCell ref="AM22:AM25"/>
    <mergeCell ref="AM30:AM33"/>
    <mergeCell ref="AM37:AM38"/>
    <mergeCell ref="AM60:AM61"/>
    <mergeCell ref="AM62:AM63"/>
    <mergeCell ref="AM64:AM65"/>
    <mergeCell ref="AN4:AN6"/>
    <mergeCell ref="AN16:AN17"/>
    <mergeCell ref="AN18:AN19"/>
    <mergeCell ref="AN20:AN21"/>
    <mergeCell ref="AN22:AN25"/>
    <mergeCell ref="AN30:AN33"/>
    <mergeCell ref="AN37:AN38"/>
    <mergeCell ref="AN60:AN61"/>
    <mergeCell ref="AN62:AN63"/>
    <mergeCell ref="AN64:AN65"/>
    <mergeCell ref="AO4:AO6"/>
    <mergeCell ref="AO16:AO17"/>
    <mergeCell ref="AO18:AO19"/>
    <mergeCell ref="AO20:AO21"/>
    <mergeCell ref="AO22:AO25"/>
    <mergeCell ref="AO30:AO33"/>
    <mergeCell ref="AO37:AO38"/>
    <mergeCell ref="AO60:AO61"/>
    <mergeCell ref="AO62:AO63"/>
    <mergeCell ref="AO64:AO65"/>
    <mergeCell ref="AP22:AP25"/>
    <mergeCell ref="AP30:AP33"/>
    <mergeCell ref="A1:E3"/>
  </mergeCells>
  <conditionalFormatting sqref="I4:T4">
    <cfRule type="cellIs" dxfId="5" priority="38" stopIfTrue="1" operator="equal">
      <formula>"tbd"</formula>
    </cfRule>
  </conditionalFormatting>
  <conditionalFormatting sqref="K16:L16">
    <cfRule type="cellIs" dxfId="5" priority="9" stopIfTrue="1" operator="equal">
      <formula>"tbd"</formula>
    </cfRule>
  </conditionalFormatting>
  <conditionalFormatting sqref="B22">
    <cfRule type="cellIs" dxfId="5" priority="22" stopIfTrue="1" operator="equal">
      <formula>"tbd"</formula>
    </cfRule>
  </conditionalFormatting>
  <conditionalFormatting sqref="E22:F22">
    <cfRule type="cellIs" dxfId="5" priority="7" stopIfTrue="1" operator="equal">
      <formula>"tbd"</formula>
    </cfRule>
  </conditionalFormatting>
  <conditionalFormatting sqref="A30">
    <cfRule type="cellIs" dxfId="5" priority="15" stopIfTrue="1" operator="equal">
      <formula>"tbd"</formula>
    </cfRule>
  </conditionalFormatting>
  <conditionalFormatting sqref="F34">
    <cfRule type="cellIs" dxfId="5" priority="4" stopIfTrue="1" operator="equal">
      <formula>"tbd"</formula>
    </cfRule>
  </conditionalFormatting>
  <conditionalFormatting sqref="AO34">
    <cfRule type="cellIs" dxfId="6" priority="3" stopIfTrue="1" operator="equal">
      <formula>"tbd"</formula>
    </cfRule>
  </conditionalFormatting>
  <conditionalFormatting sqref="C60:D60">
    <cfRule type="cellIs" dxfId="5" priority="12" stopIfTrue="1" operator="equal">
      <formula>"tbd"</formula>
    </cfRule>
  </conditionalFormatting>
  <conditionalFormatting sqref="C64:D64">
    <cfRule type="cellIs" dxfId="5" priority="11" stopIfTrue="1" operator="equal">
      <formula>"tbd"</formula>
    </cfRule>
  </conditionalFormatting>
  <conditionalFormatting sqref="E10:E15">
    <cfRule type="cellIs" dxfId="5" priority="13" stopIfTrue="1" operator="equal">
      <formula>"tbd"</formula>
    </cfRule>
  </conditionalFormatting>
  <conditionalFormatting sqref="F26:F29">
    <cfRule type="cellIs" dxfId="5" priority="6" stopIfTrue="1" operator="equal">
      <formula>"tbd"</formula>
    </cfRule>
  </conditionalFormatting>
  <conditionalFormatting sqref="F39:F40">
    <cfRule type="cellIs" dxfId="5" priority="5" stopIfTrue="1" operator="equal">
      <formula>"tbd"</formula>
    </cfRule>
  </conditionalFormatting>
  <conditionalFormatting sqref="R30:R33">
    <cfRule type="cellIs" dxfId="6" priority="1" stopIfTrue="1" operator="equal">
      <formula>"tbd"</formula>
    </cfRule>
  </conditionalFormatting>
  <conditionalFormatting sqref="R35:R36">
    <cfRule type="cellIs" dxfId="6" priority="10" stopIfTrue="1" operator="equal">
      <formula>"tbd"</formula>
    </cfRule>
  </conditionalFormatting>
  <conditionalFormatting sqref="R39:R40">
    <cfRule type="cellIs" dxfId="6" priority="18" stopIfTrue="1" operator="equal">
      <formula>"tbd"</formula>
    </cfRule>
  </conditionalFormatting>
  <conditionalFormatting sqref="A7:A19 A36:A37 A39:A60">
    <cfRule type="cellIs" dxfId="5" priority="16" stopIfTrue="1" operator="equal">
      <formula>"tbd"</formula>
    </cfRule>
  </conditionalFormatting>
  <conditionalFormatting sqref="A22:A25 A62 A64">
    <cfRule type="cellIs" dxfId="5" priority="23" stopIfTrue="1" operator="equal">
      <formula>"tbd"</formula>
    </cfRule>
  </conditionalFormatting>
  <conditionalFormatting sqref="C26:C27 E26:E27 K26:K27">
    <cfRule type="cellIs" dxfId="5" priority="21" stopIfTrue="1" operator="equal">
      <formula>"tbd"</formula>
    </cfRule>
  </conditionalFormatting>
  <dataValidations count="9">
    <dataValidation type="list" allowBlank="1" showInputMessage="1" showErrorMessage="1" sqref="G8 G15 G18 G62 G64 G22:G60 G66:G1048576">
      <formula1>"W,R,R/W"</formula1>
    </dataValidation>
    <dataValidation type="list" allowBlank="1" showInputMessage="1" showErrorMessage="1" sqref="G16 G20 G9:G14">
      <formula1>"W,R,R/W,TBD"</formula1>
    </dataValidation>
    <dataValidation type="list" allowBlank="1" showInputMessage="1" showErrorMessage="1" sqref="U20:AL20">
      <formula1>"Y,N,TBD"</formula1>
    </dataValidation>
    <dataValidation type="list" allowBlank="1" showInputMessage="1" showErrorMessage="1" sqref="F22 U26:AE26 AG26:AJ26 AL26:AN26 U38:AL38 F62 U62:AN62 F64 U64:AN64 F7:F20 F26:F37 F39:F60 F66:F1048576 U7:AN19 U22:AN25 U27:AN37 U39:AN60 U66:AN1048576">
      <formula1>"Y,N"</formula1>
    </dataValidation>
    <dataValidation type="list" allowBlank="1" showInputMessage="1" showErrorMessage="1" sqref="AF26 AK26">
      <formula1>"Y,N,Y(a)"</formula1>
    </dataValidation>
    <dataValidation type="list" allowBlank="1" showInputMessage="1" showErrorMessage="1" sqref="E62 E64 E7:E19 E22:E60 E66:E1048576">
      <formula1>"M,U"</formula1>
    </dataValidation>
    <dataValidation type="list" allowBlank="1" showInputMessage="1" showErrorMessage="1" sqref="O66:O1048576">
      <formula1>Predefined!$C$2:$C$69</formula1>
    </dataValidation>
    <dataValidation type="list" allowBlank="1" showInputMessage="1" showErrorMessage="1" sqref="S7:S1048576">
      <formula1>"ASCII,Unsigned,Signed,Texttable,Bytefield,Float,Reserved"</formula1>
    </dataValidation>
    <dataValidation type="list" allowBlank="1" showInputMessage="1" showErrorMessage="1" sqref="T7:T1048576">
      <formula1>"Flash,EEPROM,RAM,TBD"</formula1>
    </dataValidation>
  </dataValidations>
  <pageMargins left="0.699305555555556" right="0.699305555555556" top="0.75" bottom="0.75" header="0.3" footer="0.3"/>
  <pageSetup paperSize="9" scale="29" orientation="portrait"/>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68" name="Drop Down 48" r:id="rId4">
              <controlPr print="0" defaultSize="0">
                <anchor moveWithCells="1" sizeWithCells="1">
                  <from>
                    <xdr:col>6</xdr:col>
                    <xdr:colOff>0</xdr:colOff>
                    <xdr:row>26</xdr:row>
                    <xdr:rowOff>0</xdr:rowOff>
                  </from>
                  <to>
                    <xdr:col>7</xdr:col>
                    <xdr:colOff>241300</xdr:colOff>
                    <xdr:row>26</xdr:row>
                    <xdr:rowOff>0</xdr:rowOff>
                  </to>
                </anchor>
              </controlPr>
            </control>
          </mc:Choice>
        </mc:AlternateContent>
        <mc:AlternateContent xmlns:mc="http://schemas.openxmlformats.org/markup-compatibility/2006">
          <mc:Choice Requires="x14">
            <control shapeId="30769" name="Drop Down 49" r:id="rId5">
              <controlPr print="0" defaultSize="0">
                <anchor moveWithCells="1" sizeWithCells="1">
                  <from>
                    <xdr:col>6</xdr:col>
                    <xdr:colOff>0</xdr:colOff>
                    <xdr:row>26</xdr:row>
                    <xdr:rowOff>0</xdr:rowOff>
                  </from>
                  <to>
                    <xdr:col>7</xdr:col>
                    <xdr:colOff>241300</xdr:colOff>
                    <xdr:row>26</xdr:row>
                    <xdr:rowOff>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45"/>
  <sheetViews>
    <sheetView zoomScale="90" zoomScaleNormal="90" zoomScaleSheetLayoutView="85" topLeftCell="A23" workbookViewId="0">
      <selection activeCell="K36" sqref="K36"/>
    </sheetView>
  </sheetViews>
  <sheetFormatPr defaultColWidth="9" defaultRowHeight="13"/>
  <cols>
    <col min="1" max="1" width="6.72727272727273" style="589" customWidth="1"/>
    <col min="2" max="2" width="12.3636363636364" style="589" customWidth="1"/>
    <col min="3" max="3" width="31.4545454545455" style="589" customWidth="1"/>
    <col min="4" max="4" width="29.0909090909091" style="589" customWidth="1"/>
    <col min="5" max="5" width="7.90909090909091" style="589" customWidth="1"/>
    <col min="6" max="6" width="6.63636363636364" style="589" customWidth="1"/>
    <col min="7" max="7" width="5.72727272727273" style="589" customWidth="1"/>
    <col min="8" max="8" width="4.90909090909091" style="589" customWidth="1"/>
    <col min="9" max="9" width="32" style="589" customWidth="1"/>
    <col min="10" max="10" width="22.4545454545455" style="589" customWidth="1"/>
    <col min="11" max="11" width="15.4545454545455" style="589" customWidth="1"/>
    <col min="12" max="12" width="15.9090909090909" style="589" customWidth="1"/>
    <col min="13" max="13" width="9.45454545454546" style="589" customWidth="1"/>
    <col min="14" max="14" width="24.6363636363636" style="589" customWidth="1"/>
    <col min="15" max="15" width="24.7272727272727" style="589" customWidth="1"/>
    <col min="16" max="16" width="15.3636363636364" style="589" customWidth="1"/>
    <col min="17" max="17" width="9.45454545454546" style="589" customWidth="1"/>
    <col min="18" max="18" width="10.6363636363636" style="589" customWidth="1"/>
    <col min="19" max="24" width="8.45454545454546" style="589" customWidth="1"/>
    <col min="25" max="26" width="7" style="589" customWidth="1"/>
    <col min="27" max="27" width="8.72727272727273" style="589" customWidth="1"/>
    <col min="28" max="33" width="8.45454545454546" style="589" customWidth="1"/>
    <col min="34" max="35" width="7" style="589" customWidth="1"/>
    <col min="36" max="36" width="8.72727272727273" style="589" customWidth="1"/>
    <col min="37" max="38" width="9" style="589"/>
    <col min="39" max="39" width="31.3636363636364" style="589" customWidth="1"/>
    <col min="40" max="16384" width="9" style="589"/>
  </cols>
  <sheetData>
    <row r="1" ht="14.15" customHeight="1" spans="1:39">
      <c r="A1" s="623" t="s">
        <v>741</v>
      </c>
      <c r="B1" s="623"/>
      <c r="C1" s="623"/>
      <c r="D1" s="623"/>
      <c r="E1" s="623"/>
      <c r="F1" s="623"/>
    </row>
    <row r="2" s="585" customFormat="1" spans="1:39">
      <c r="A2" s="623"/>
      <c r="B2" s="623"/>
      <c r="C2" s="623"/>
      <c r="D2" s="623"/>
      <c r="E2" s="623"/>
      <c r="F2" s="623"/>
      <c r="G2" s="591"/>
      <c r="H2" s="591"/>
      <c r="I2" s="591"/>
      <c r="J2" s="591"/>
      <c r="K2" s="591"/>
      <c r="L2" s="591"/>
      <c r="M2" s="591"/>
      <c r="N2" s="591"/>
      <c r="O2" s="591"/>
      <c r="P2" s="591"/>
      <c r="Q2" s="591"/>
      <c r="R2" s="591"/>
      <c r="S2" s="591"/>
      <c r="T2" s="591"/>
      <c r="U2" s="591"/>
      <c r="V2" s="591"/>
      <c r="W2" s="591"/>
      <c r="X2" s="591"/>
      <c r="Y2" s="591"/>
      <c r="Z2" s="591"/>
      <c r="AA2" s="591"/>
      <c r="AB2" s="591"/>
      <c r="AC2" s="591"/>
      <c r="AD2" s="591"/>
      <c r="AE2" s="591"/>
      <c r="AF2" s="591"/>
      <c r="AG2" s="591"/>
      <c r="AH2" s="591"/>
      <c r="AI2" s="591"/>
      <c r="AJ2" s="591"/>
      <c r="AK2" s="591"/>
      <c r="AL2" s="591"/>
    </row>
    <row r="3" s="585" customFormat="1" ht="25" customHeight="1" spans="1:39">
      <c r="A3" s="624"/>
      <c r="B3" s="624"/>
      <c r="C3" s="624"/>
      <c r="D3" s="624"/>
      <c r="E3" s="624"/>
      <c r="F3" s="624"/>
      <c r="G3" s="591"/>
      <c r="H3" s="591"/>
      <c r="I3" s="591"/>
      <c r="J3" s="591"/>
      <c r="K3" s="591"/>
      <c r="L3" s="591"/>
      <c r="M3" s="591"/>
      <c r="N3" s="591"/>
      <c r="O3" s="591"/>
      <c r="P3" s="591"/>
      <c r="Q3" s="591"/>
      <c r="R3" s="591"/>
      <c r="S3" s="591"/>
      <c r="T3" s="591"/>
      <c r="U3" s="591"/>
      <c r="V3" s="591"/>
      <c r="W3" s="591"/>
      <c r="X3" s="591"/>
      <c r="Y3" s="591"/>
      <c r="Z3" s="591"/>
      <c r="AA3" s="591"/>
      <c r="AB3" s="591"/>
      <c r="AC3" s="591"/>
      <c r="AD3" s="591"/>
      <c r="AE3" s="591"/>
      <c r="AF3" s="591"/>
      <c r="AG3" s="591"/>
      <c r="AH3" s="591"/>
      <c r="AI3" s="591"/>
      <c r="AJ3" s="591"/>
      <c r="AK3" s="591"/>
      <c r="AL3" s="591"/>
    </row>
    <row r="4" s="585" customFormat="1" ht="26.5" customHeight="1" spans="1:39">
      <c r="A4" s="396" t="s">
        <v>437</v>
      </c>
      <c r="B4" s="396" t="s">
        <v>438</v>
      </c>
      <c r="C4" s="396" t="s">
        <v>439</v>
      </c>
      <c r="D4" s="398" t="s">
        <v>440</v>
      </c>
      <c r="E4" s="396" t="s">
        <v>441</v>
      </c>
      <c r="F4" s="396" t="s">
        <v>442</v>
      </c>
      <c r="G4" s="593" t="s">
        <v>443</v>
      </c>
      <c r="H4" s="593" t="s">
        <v>444</v>
      </c>
      <c r="I4" s="593" t="s">
        <v>445</v>
      </c>
      <c r="J4" s="594" t="s">
        <v>446</v>
      </c>
      <c r="K4" s="554" t="s">
        <v>447</v>
      </c>
      <c r="L4" s="554" t="s">
        <v>448</v>
      </c>
      <c r="M4" s="554" t="s">
        <v>449</v>
      </c>
      <c r="N4" s="554" t="s">
        <v>450</v>
      </c>
      <c r="O4" s="595" t="s">
        <v>451</v>
      </c>
      <c r="P4" s="554" t="s">
        <v>452</v>
      </c>
      <c r="Q4" s="593" t="s">
        <v>453</v>
      </c>
      <c r="R4" s="395" t="s">
        <v>454</v>
      </c>
      <c r="S4" s="596" t="s">
        <v>455</v>
      </c>
      <c r="T4" s="597"/>
      <c r="U4" s="597"/>
      <c r="V4" s="597"/>
      <c r="W4" s="597"/>
      <c r="X4" s="597"/>
      <c r="Y4" s="597"/>
      <c r="Z4" s="597"/>
      <c r="AA4" s="597"/>
      <c r="AB4" s="596" t="s">
        <v>456</v>
      </c>
      <c r="AC4" s="597"/>
      <c r="AD4" s="597"/>
      <c r="AE4" s="597"/>
      <c r="AF4" s="597"/>
      <c r="AG4" s="597"/>
      <c r="AH4" s="597"/>
      <c r="AI4" s="597"/>
      <c r="AJ4" s="597"/>
      <c r="AK4" s="401" t="s">
        <v>457</v>
      </c>
      <c r="AL4" s="401" t="s">
        <v>458</v>
      </c>
      <c r="AM4" s="396" t="s">
        <v>459</v>
      </c>
    </row>
    <row r="5" s="586" customFormat="1" ht="31.5" customHeight="1" spans="1:39">
      <c r="A5" s="396"/>
      <c r="B5" s="396"/>
      <c r="C5" s="396"/>
      <c r="D5" s="398"/>
      <c r="E5" s="396"/>
      <c r="F5" s="396"/>
      <c r="G5" s="593"/>
      <c r="H5" s="593"/>
      <c r="I5" s="593"/>
      <c r="J5" s="598"/>
      <c r="K5" s="554"/>
      <c r="L5" s="554"/>
      <c r="M5" s="554"/>
      <c r="N5" s="554"/>
      <c r="O5" s="599"/>
      <c r="P5" s="554"/>
      <c r="Q5" s="593"/>
      <c r="R5" s="395"/>
      <c r="S5" s="400" t="s">
        <v>460</v>
      </c>
      <c r="T5" s="400"/>
      <c r="U5" s="400"/>
      <c r="V5" s="400" t="s">
        <v>461</v>
      </c>
      <c r="W5" s="400"/>
      <c r="X5" s="400"/>
      <c r="Y5" s="400" t="s">
        <v>462</v>
      </c>
      <c r="Z5" s="400"/>
      <c r="AA5" s="400"/>
      <c r="AB5" s="400" t="s">
        <v>460</v>
      </c>
      <c r="AC5" s="400"/>
      <c r="AD5" s="400"/>
      <c r="AE5" s="400" t="s">
        <v>461</v>
      </c>
      <c r="AF5" s="400"/>
      <c r="AG5" s="400"/>
      <c r="AH5" s="400" t="s">
        <v>462</v>
      </c>
      <c r="AI5" s="400"/>
      <c r="AJ5" s="400"/>
      <c r="AK5" s="401"/>
      <c r="AL5" s="401"/>
      <c r="AM5" s="396"/>
    </row>
    <row r="6" s="587" customFormat="1" ht="32.25" customHeight="1" spans="1:39">
      <c r="A6" s="396"/>
      <c r="B6" s="396"/>
      <c r="C6" s="396"/>
      <c r="D6" s="398"/>
      <c r="E6" s="396"/>
      <c r="F6" s="396"/>
      <c r="G6" s="593"/>
      <c r="H6" s="593"/>
      <c r="I6" s="593"/>
      <c r="J6" s="600"/>
      <c r="K6" s="554"/>
      <c r="L6" s="554"/>
      <c r="M6" s="554"/>
      <c r="N6" s="554"/>
      <c r="O6" s="601"/>
      <c r="P6" s="554"/>
      <c r="Q6" s="593"/>
      <c r="R6" s="395"/>
      <c r="S6" s="404" t="s">
        <v>257</v>
      </c>
      <c r="T6" s="404" t="s">
        <v>398</v>
      </c>
      <c r="U6" s="404" t="s">
        <v>258</v>
      </c>
      <c r="V6" s="404" t="s">
        <v>257</v>
      </c>
      <c r="W6" s="404" t="s">
        <v>398</v>
      </c>
      <c r="X6" s="404" t="s">
        <v>258</v>
      </c>
      <c r="Y6" s="404" t="s">
        <v>463</v>
      </c>
      <c r="Z6" s="404" t="s">
        <v>260</v>
      </c>
      <c r="AA6" s="404" t="s">
        <v>399</v>
      </c>
      <c r="AB6" s="404" t="s">
        <v>257</v>
      </c>
      <c r="AC6" s="404" t="s">
        <v>398</v>
      </c>
      <c r="AD6" s="404" t="s">
        <v>258</v>
      </c>
      <c r="AE6" s="404" t="s">
        <v>257</v>
      </c>
      <c r="AF6" s="404" t="s">
        <v>398</v>
      </c>
      <c r="AG6" s="404" t="s">
        <v>258</v>
      </c>
      <c r="AH6" s="404" t="s">
        <v>463</v>
      </c>
      <c r="AI6" s="404" t="s">
        <v>260</v>
      </c>
      <c r="AJ6" s="404" t="s">
        <v>399</v>
      </c>
      <c r="AK6" s="401"/>
      <c r="AL6" s="401"/>
      <c r="AM6" s="396"/>
    </row>
    <row r="7" s="620" customFormat="1" ht="12" customHeight="1" spans="1:39">
      <c r="A7" s="625" t="s">
        <v>384</v>
      </c>
      <c r="B7" s="626" t="s">
        <v>742</v>
      </c>
      <c r="C7" s="627" t="s">
        <v>743</v>
      </c>
      <c r="D7" s="627" t="s">
        <v>744</v>
      </c>
      <c r="E7" s="628" t="s">
        <v>476</v>
      </c>
      <c r="F7" s="629">
        <v>1</v>
      </c>
      <c r="G7" s="630">
        <v>0</v>
      </c>
      <c r="H7" s="626" t="s">
        <v>720</v>
      </c>
      <c r="I7" s="627" t="s">
        <v>743</v>
      </c>
      <c r="J7" s="627" t="s">
        <v>744</v>
      </c>
      <c r="K7" s="631">
        <v>0</v>
      </c>
      <c r="L7" s="631">
        <v>25.5</v>
      </c>
      <c r="M7" s="626" t="s">
        <v>470</v>
      </c>
      <c r="N7" s="632"/>
      <c r="O7" s="632"/>
      <c r="P7" s="632"/>
      <c r="Q7" s="615" t="s">
        <v>93</v>
      </c>
      <c r="R7" s="633" t="s">
        <v>739</v>
      </c>
      <c r="S7" s="634" t="s">
        <v>266</v>
      </c>
      <c r="T7" s="634" t="s">
        <v>272</v>
      </c>
      <c r="U7" s="634" t="s">
        <v>266</v>
      </c>
      <c r="V7" s="634" t="s">
        <v>272</v>
      </c>
      <c r="W7" s="634" t="s">
        <v>272</v>
      </c>
      <c r="X7" s="634" t="s">
        <v>272</v>
      </c>
      <c r="Y7" s="634" t="s">
        <v>266</v>
      </c>
      <c r="Z7" s="634" t="s">
        <v>266</v>
      </c>
      <c r="AA7" s="634" t="s">
        <v>272</v>
      </c>
      <c r="AB7" s="634" t="s">
        <v>272</v>
      </c>
      <c r="AC7" s="634" t="s">
        <v>272</v>
      </c>
      <c r="AD7" s="634" t="s">
        <v>272</v>
      </c>
      <c r="AE7" s="634" t="s">
        <v>272</v>
      </c>
      <c r="AF7" s="634" t="s">
        <v>272</v>
      </c>
      <c r="AG7" s="634" t="s">
        <v>272</v>
      </c>
      <c r="AH7" s="634" t="s">
        <v>272</v>
      </c>
      <c r="AI7" s="634" t="s">
        <v>272</v>
      </c>
      <c r="AJ7" s="634" t="s">
        <v>272</v>
      </c>
      <c r="AK7" s="635" t="s">
        <v>266</v>
      </c>
      <c r="AL7" s="635" t="s">
        <v>266</v>
      </c>
      <c r="AM7" s="622"/>
    </row>
    <row r="8" s="620" customFormat="1" ht="51.5" customHeight="1" spans="1:39">
      <c r="A8" s="636" t="s">
        <v>387</v>
      </c>
      <c r="B8" s="637" t="s">
        <v>745</v>
      </c>
      <c r="C8" s="638" t="s">
        <v>746</v>
      </c>
      <c r="D8" s="638" t="s">
        <v>747</v>
      </c>
      <c r="E8" s="639" t="s">
        <v>476</v>
      </c>
      <c r="F8" s="640">
        <v>1</v>
      </c>
      <c r="G8" s="641">
        <v>0</v>
      </c>
      <c r="H8" s="637" t="s">
        <v>720</v>
      </c>
      <c r="I8" s="638" t="s">
        <v>746</v>
      </c>
      <c r="J8" s="638" t="s">
        <v>747</v>
      </c>
      <c r="K8" s="642" t="s">
        <v>193</v>
      </c>
      <c r="L8" s="642" t="s">
        <v>193</v>
      </c>
      <c r="M8" s="637" t="s">
        <v>470</v>
      </c>
      <c r="N8" s="642" t="s">
        <v>748</v>
      </c>
      <c r="O8" s="642" t="s">
        <v>748</v>
      </c>
      <c r="P8" s="642">
        <v>0</v>
      </c>
      <c r="Q8" s="615" t="s">
        <v>93</v>
      </c>
      <c r="R8" s="643" t="s">
        <v>520</v>
      </c>
      <c r="S8" s="644" t="s">
        <v>266</v>
      </c>
      <c r="T8" s="644" t="s">
        <v>272</v>
      </c>
      <c r="U8" s="644" t="s">
        <v>266</v>
      </c>
      <c r="V8" s="644" t="s">
        <v>272</v>
      </c>
      <c r="W8" s="644" t="s">
        <v>272</v>
      </c>
      <c r="X8" s="644" t="s">
        <v>272</v>
      </c>
      <c r="Y8" s="644" t="s">
        <v>266</v>
      </c>
      <c r="Z8" s="644" t="s">
        <v>266</v>
      </c>
      <c r="AA8" s="644" t="s">
        <v>272</v>
      </c>
      <c r="AB8" s="644" t="s">
        <v>272</v>
      </c>
      <c r="AC8" s="644" t="s">
        <v>272</v>
      </c>
      <c r="AD8" s="644" t="s">
        <v>272</v>
      </c>
      <c r="AE8" s="644" t="s">
        <v>272</v>
      </c>
      <c r="AF8" s="644" t="s">
        <v>272</v>
      </c>
      <c r="AG8" s="644" t="s">
        <v>272</v>
      </c>
      <c r="AH8" s="644" t="s">
        <v>272</v>
      </c>
      <c r="AI8" s="644" t="s">
        <v>272</v>
      </c>
      <c r="AJ8" s="644" t="s">
        <v>272</v>
      </c>
      <c r="AK8" s="615" t="s">
        <v>266</v>
      </c>
      <c r="AL8" s="615" t="s">
        <v>266</v>
      </c>
      <c r="AM8" s="645"/>
    </row>
    <row r="9" s="620" customFormat="1" ht="12" customHeight="1" spans="1:39">
      <c r="A9" s="636" t="s">
        <v>231</v>
      </c>
      <c r="B9" s="637" t="s">
        <v>749</v>
      </c>
      <c r="C9" s="638" t="s">
        <v>750</v>
      </c>
      <c r="D9" s="638" t="s">
        <v>751</v>
      </c>
      <c r="E9" s="639" t="s">
        <v>752</v>
      </c>
      <c r="F9" s="640">
        <v>1</v>
      </c>
      <c r="G9" s="641">
        <v>0</v>
      </c>
      <c r="H9" s="637" t="s">
        <v>720</v>
      </c>
      <c r="I9" s="638" t="s">
        <v>750</v>
      </c>
      <c r="J9" s="638" t="s">
        <v>751</v>
      </c>
      <c r="K9" s="642" t="s">
        <v>193</v>
      </c>
      <c r="L9" s="642" t="s">
        <v>193</v>
      </c>
      <c r="M9" s="637" t="s">
        <v>470</v>
      </c>
      <c r="N9" s="642" t="s">
        <v>753</v>
      </c>
      <c r="O9" s="642"/>
      <c r="P9" s="642"/>
      <c r="Q9" s="615" t="s">
        <v>93</v>
      </c>
      <c r="R9" s="643" t="s">
        <v>739</v>
      </c>
      <c r="S9" s="644" t="s">
        <v>272</v>
      </c>
      <c r="T9" s="644" t="s">
        <v>272</v>
      </c>
      <c r="U9" s="644" t="s">
        <v>272</v>
      </c>
      <c r="V9" s="644" t="s">
        <v>272</v>
      </c>
      <c r="W9" s="644" t="s">
        <v>272</v>
      </c>
      <c r="X9" s="644" t="s">
        <v>272</v>
      </c>
      <c r="Y9" s="644" t="s">
        <v>266</v>
      </c>
      <c r="Z9" s="644" t="s">
        <v>266</v>
      </c>
      <c r="AA9" s="644" t="s">
        <v>272</v>
      </c>
      <c r="AB9" s="615" t="s">
        <v>272</v>
      </c>
      <c r="AC9" s="615" t="s">
        <v>272</v>
      </c>
      <c r="AD9" s="615" t="s">
        <v>266</v>
      </c>
      <c r="AE9" s="644" t="s">
        <v>272</v>
      </c>
      <c r="AF9" s="644" t="s">
        <v>272</v>
      </c>
      <c r="AG9" s="644" t="s">
        <v>272</v>
      </c>
      <c r="AH9" s="615" t="s">
        <v>272</v>
      </c>
      <c r="AI9" s="615" t="s">
        <v>266</v>
      </c>
      <c r="AJ9" s="615" t="s">
        <v>272</v>
      </c>
      <c r="AK9" s="615" t="s">
        <v>266</v>
      </c>
      <c r="AL9" s="615" t="s">
        <v>266</v>
      </c>
      <c r="AM9" s="645"/>
    </row>
    <row r="10" s="621" customFormat="1" ht="26.15" customHeight="1" spans="1:39">
      <c r="A10" s="646">
        <v>14</v>
      </c>
      <c r="B10" s="647" t="s">
        <v>754</v>
      </c>
      <c r="C10" s="646" t="s">
        <v>755</v>
      </c>
      <c r="D10" s="646" t="s">
        <v>756</v>
      </c>
      <c r="E10" s="648" t="s">
        <v>476</v>
      </c>
      <c r="F10" s="648">
        <v>13</v>
      </c>
      <c r="G10" s="646" t="s">
        <v>757</v>
      </c>
      <c r="H10" s="649" t="s">
        <v>758</v>
      </c>
      <c r="I10" s="650" t="s">
        <v>759</v>
      </c>
      <c r="J10" s="651" t="s">
        <v>760</v>
      </c>
      <c r="K10" s="646">
        <v>0</v>
      </c>
      <c r="L10" s="652">
        <v>65535</v>
      </c>
      <c r="M10" s="650" t="s">
        <v>470</v>
      </c>
      <c r="N10" s="653"/>
      <c r="O10" s="654" t="s">
        <v>761</v>
      </c>
      <c r="P10" s="650">
        <v>0</v>
      </c>
      <c r="Q10" s="615" t="s">
        <v>93</v>
      </c>
      <c r="R10" s="650" t="s">
        <v>520</v>
      </c>
      <c r="S10" s="615" t="s">
        <v>266</v>
      </c>
      <c r="T10" s="615" t="s">
        <v>272</v>
      </c>
      <c r="U10" s="615" t="s">
        <v>266</v>
      </c>
      <c r="V10" s="615" t="s">
        <v>272</v>
      </c>
      <c r="W10" s="615" t="s">
        <v>272</v>
      </c>
      <c r="X10" s="615" t="s">
        <v>272</v>
      </c>
      <c r="Y10" s="615" t="s">
        <v>266</v>
      </c>
      <c r="Z10" s="615" t="s">
        <v>266</v>
      </c>
      <c r="AA10" s="615" t="s">
        <v>272</v>
      </c>
      <c r="AB10" s="615" t="s">
        <v>272</v>
      </c>
      <c r="AC10" s="615" t="s">
        <v>272</v>
      </c>
      <c r="AD10" s="615" t="s">
        <v>272</v>
      </c>
      <c r="AE10" s="615" t="s">
        <v>272</v>
      </c>
      <c r="AF10" s="615" t="s">
        <v>272</v>
      </c>
      <c r="AG10" s="615" t="s">
        <v>272</v>
      </c>
      <c r="AH10" s="615" t="s">
        <v>272</v>
      </c>
      <c r="AI10" s="615" t="s">
        <v>272</v>
      </c>
      <c r="AJ10" s="615" t="s">
        <v>272</v>
      </c>
      <c r="AK10" s="615" t="s">
        <v>272</v>
      </c>
      <c r="AL10" s="615" t="s">
        <v>272</v>
      </c>
      <c r="AM10" s="645"/>
    </row>
    <row r="11" s="621" customFormat="1" ht="26.15" customHeight="1" spans="1:39">
      <c r="A11" s="646"/>
      <c r="B11" s="647"/>
      <c r="C11" s="646"/>
      <c r="D11" s="646"/>
      <c r="E11" s="648"/>
      <c r="F11" s="648"/>
      <c r="G11" s="646">
        <v>2</v>
      </c>
      <c r="H11" s="649" t="s">
        <v>720</v>
      </c>
      <c r="I11" s="650" t="s">
        <v>743</v>
      </c>
      <c r="J11" s="638" t="s">
        <v>744</v>
      </c>
      <c r="K11" s="655">
        <v>0</v>
      </c>
      <c r="L11" s="655">
        <v>25.5</v>
      </c>
      <c r="M11" s="650" t="s">
        <v>470</v>
      </c>
      <c r="N11" s="653"/>
      <c r="O11" s="650"/>
      <c r="P11" s="650">
        <v>0</v>
      </c>
      <c r="Q11" s="615" t="s">
        <v>93</v>
      </c>
      <c r="R11" s="650" t="s">
        <v>520</v>
      </c>
      <c r="S11" s="615" t="s">
        <v>266</v>
      </c>
      <c r="T11" s="615" t="s">
        <v>272</v>
      </c>
      <c r="U11" s="615" t="s">
        <v>266</v>
      </c>
      <c r="V11" s="615" t="s">
        <v>272</v>
      </c>
      <c r="W11" s="615" t="s">
        <v>272</v>
      </c>
      <c r="X11" s="615" t="s">
        <v>272</v>
      </c>
      <c r="Y11" s="615" t="s">
        <v>266</v>
      </c>
      <c r="Z11" s="615" t="s">
        <v>266</v>
      </c>
      <c r="AA11" s="615" t="s">
        <v>272</v>
      </c>
      <c r="AB11" s="615" t="s">
        <v>272</v>
      </c>
      <c r="AC11" s="615" t="s">
        <v>272</v>
      </c>
      <c r="AD11" s="615" t="s">
        <v>272</v>
      </c>
      <c r="AE11" s="615" t="s">
        <v>272</v>
      </c>
      <c r="AF11" s="615" t="s">
        <v>272</v>
      </c>
      <c r="AG11" s="615" t="s">
        <v>272</v>
      </c>
      <c r="AH11" s="615" t="s">
        <v>272</v>
      </c>
      <c r="AI11" s="615" t="s">
        <v>272</v>
      </c>
      <c r="AJ11" s="615" t="s">
        <v>272</v>
      </c>
      <c r="AK11" s="615" t="s">
        <v>272</v>
      </c>
      <c r="AL11" s="615" t="s">
        <v>272</v>
      </c>
      <c r="AM11" s="645"/>
    </row>
    <row r="12" s="621" customFormat="1" ht="26.15" customHeight="1" spans="1:39">
      <c r="A12" s="646"/>
      <c r="B12" s="647"/>
      <c r="C12" s="646"/>
      <c r="D12" s="646"/>
      <c r="E12" s="648"/>
      <c r="F12" s="648"/>
      <c r="G12" s="646" t="s">
        <v>762</v>
      </c>
      <c r="H12" s="649" t="s">
        <v>758</v>
      </c>
      <c r="I12" s="651" t="s">
        <v>763</v>
      </c>
      <c r="J12" s="651" t="s">
        <v>764</v>
      </c>
      <c r="K12" s="652">
        <v>0</v>
      </c>
      <c r="L12" s="652">
        <v>65535</v>
      </c>
      <c r="M12" s="656" t="s">
        <v>765</v>
      </c>
      <c r="N12" s="653"/>
      <c r="O12" s="650"/>
      <c r="P12" s="650">
        <v>0</v>
      </c>
      <c r="Q12" s="615" t="s">
        <v>93</v>
      </c>
      <c r="R12" s="650" t="s">
        <v>520</v>
      </c>
      <c r="S12" s="615" t="s">
        <v>266</v>
      </c>
      <c r="T12" s="615" t="s">
        <v>272</v>
      </c>
      <c r="U12" s="615" t="s">
        <v>266</v>
      </c>
      <c r="V12" s="615" t="s">
        <v>272</v>
      </c>
      <c r="W12" s="615" t="s">
        <v>272</v>
      </c>
      <c r="X12" s="615" t="s">
        <v>272</v>
      </c>
      <c r="Y12" s="615" t="s">
        <v>266</v>
      </c>
      <c r="Z12" s="615" t="s">
        <v>266</v>
      </c>
      <c r="AA12" s="615" t="s">
        <v>272</v>
      </c>
      <c r="AB12" s="615" t="s">
        <v>272</v>
      </c>
      <c r="AC12" s="615" t="s">
        <v>272</v>
      </c>
      <c r="AD12" s="615" t="s">
        <v>272</v>
      </c>
      <c r="AE12" s="615" t="s">
        <v>272</v>
      </c>
      <c r="AF12" s="615" t="s">
        <v>272</v>
      </c>
      <c r="AG12" s="615" t="s">
        <v>272</v>
      </c>
      <c r="AH12" s="615" t="s">
        <v>272</v>
      </c>
      <c r="AI12" s="615" t="s">
        <v>272</v>
      </c>
      <c r="AJ12" s="615" t="s">
        <v>272</v>
      </c>
      <c r="AK12" s="615" t="s">
        <v>272</v>
      </c>
      <c r="AL12" s="615" t="s">
        <v>272</v>
      </c>
      <c r="AM12" s="645"/>
    </row>
    <row r="13" s="621" customFormat="1" ht="26.15" customHeight="1" spans="1:39">
      <c r="A13" s="646"/>
      <c r="B13" s="647"/>
      <c r="C13" s="646"/>
      <c r="D13" s="646"/>
      <c r="E13" s="648"/>
      <c r="F13" s="648"/>
      <c r="G13" s="646">
        <v>5</v>
      </c>
      <c r="H13" s="649" t="s">
        <v>720</v>
      </c>
      <c r="I13" s="651" t="s">
        <v>766</v>
      </c>
      <c r="J13" s="651" t="s">
        <v>767</v>
      </c>
      <c r="K13" s="652">
        <v>0</v>
      </c>
      <c r="L13" s="652">
        <v>6553.5</v>
      </c>
      <c r="M13" s="657" t="s">
        <v>768</v>
      </c>
      <c r="N13" s="653"/>
      <c r="O13" s="650"/>
      <c r="P13" s="650">
        <v>0</v>
      </c>
      <c r="Q13" s="615" t="s">
        <v>93</v>
      </c>
      <c r="R13" s="650" t="s">
        <v>520</v>
      </c>
      <c r="S13" s="615" t="s">
        <v>266</v>
      </c>
      <c r="T13" s="615" t="s">
        <v>272</v>
      </c>
      <c r="U13" s="615" t="s">
        <v>266</v>
      </c>
      <c r="V13" s="615" t="s">
        <v>272</v>
      </c>
      <c r="W13" s="615" t="s">
        <v>272</v>
      </c>
      <c r="X13" s="615" t="s">
        <v>272</v>
      </c>
      <c r="Y13" s="615" t="s">
        <v>266</v>
      </c>
      <c r="Z13" s="615" t="s">
        <v>266</v>
      </c>
      <c r="AA13" s="615" t="s">
        <v>272</v>
      </c>
      <c r="AB13" s="615" t="s">
        <v>272</v>
      </c>
      <c r="AC13" s="615" t="s">
        <v>272</v>
      </c>
      <c r="AD13" s="615" t="s">
        <v>272</v>
      </c>
      <c r="AE13" s="615" t="s">
        <v>272</v>
      </c>
      <c r="AF13" s="615" t="s">
        <v>272</v>
      </c>
      <c r="AG13" s="615" t="s">
        <v>272</v>
      </c>
      <c r="AH13" s="615" t="s">
        <v>272</v>
      </c>
      <c r="AI13" s="615" t="s">
        <v>272</v>
      </c>
      <c r="AJ13" s="615" t="s">
        <v>272</v>
      </c>
      <c r="AK13" s="615" t="s">
        <v>272</v>
      </c>
      <c r="AL13" s="615" t="s">
        <v>272</v>
      </c>
      <c r="AM13" s="645"/>
    </row>
    <row r="14" s="621" customFormat="1" customHeight="1" spans="1:39">
      <c r="A14" s="646"/>
      <c r="B14" s="647"/>
      <c r="C14" s="646"/>
      <c r="D14" s="646"/>
      <c r="E14" s="648"/>
      <c r="F14" s="648"/>
      <c r="G14" s="646">
        <v>6</v>
      </c>
      <c r="H14" s="649" t="s">
        <v>720</v>
      </c>
      <c r="I14" s="651" t="s">
        <v>769</v>
      </c>
      <c r="J14" s="651" t="s">
        <v>770</v>
      </c>
      <c r="K14" s="652">
        <v>-40</v>
      </c>
      <c r="L14" s="652">
        <v>215</v>
      </c>
      <c r="M14" s="656" t="s">
        <v>771</v>
      </c>
      <c r="N14" s="653"/>
      <c r="O14" s="650"/>
      <c r="P14" s="650"/>
      <c r="Q14" s="615" t="s">
        <v>93</v>
      </c>
      <c r="R14" s="650" t="s">
        <v>520</v>
      </c>
      <c r="S14" s="615" t="s">
        <v>266</v>
      </c>
      <c r="T14" s="615" t="s">
        <v>272</v>
      </c>
      <c r="U14" s="615" t="s">
        <v>266</v>
      </c>
      <c r="V14" s="615" t="s">
        <v>272</v>
      </c>
      <c r="W14" s="615" t="s">
        <v>272</v>
      </c>
      <c r="X14" s="615" t="s">
        <v>272</v>
      </c>
      <c r="Y14" s="615" t="s">
        <v>266</v>
      </c>
      <c r="Z14" s="615" t="s">
        <v>266</v>
      </c>
      <c r="AA14" s="615" t="s">
        <v>272</v>
      </c>
      <c r="AB14" s="615" t="s">
        <v>272</v>
      </c>
      <c r="AC14" s="615" t="s">
        <v>272</v>
      </c>
      <c r="AD14" s="615" t="s">
        <v>272</v>
      </c>
      <c r="AE14" s="615" t="s">
        <v>272</v>
      </c>
      <c r="AF14" s="615" t="s">
        <v>272</v>
      </c>
      <c r="AG14" s="615" t="s">
        <v>272</v>
      </c>
      <c r="AH14" s="615" t="s">
        <v>272</v>
      </c>
      <c r="AI14" s="615" t="s">
        <v>272</v>
      </c>
      <c r="AJ14" s="615" t="s">
        <v>272</v>
      </c>
      <c r="AK14" s="615" t="s">
        <v>272</v>
      </c>
      <c r="AL14" s="615" t="s">
        <v>272</v>
      </c>
      <c r="AM14" s="645"/>
    </row>
    <row r="15" s="621" customFormat="1" customHeight="1" spans="1:39">
      <c r="A15" s="646"/>
      <c r="B15" s="647"/>
      <c r="C15" s="646"/>
      <c r="D15" s="646"/>
      <c r="E15" s="648"/>
      <c r="F15" s="648"/>
      <c r="G15" s="646">
        <v>7</v>
      </c>
      <c r="H15" s="649" t="s">
        <v>720</v>
      </c>
      <c r="I15" s="651" t="s">
        <v>772</v>
      </c>
      <c r="J15" s="651" t="s">
        <v>773</v>
      </c>
      <c r="K15" s="652">
        <v>2000</v>
      </c>
      <c r="L15" s="652">
        <v>2255</v>
      </c>
      <c r="M15" s="646"/>
      <c r="N15" s="658"/>
      <c r="O15" s="645"/>
      <c r="P15" s="650"/>
      <c r="Q15" s="615" t="s">
        <v>93</v>
      </c>
      <c r="R15" s="650" t="s">
        <v>520</v>
      </c>
      <c r="S15" s="615" t="s">
        <v>266</v>
      </c>
      <c r="T15" s="615" t="s">
        <v>272</v>
      </c>
      <c r="U15" s="615" t="s">
        <v>266</v>
      </c>
      <c r="V15" s="615" t="s">
        <v>272</v>
      </c>
      <c r="W15" s="615" t="s">
        <v>272</v>
      </c>
      <c r="X15" s="615" t="s">
        <v>272</v>
      </c>
      <c r="Y15" s="615" t="s">
        <v>266</v>
      </c>
      <c r="Z15" s="615" t="s">
        <v>266</v>
      </c>
      <c r="AA15" s="615" t="s">
        <v>272</v>
      </c>
      <c r="AB15" s="615" t="s">
        <v>272</v>
      </c>
      <c r="AC15" s="615" t="s">
        <v>272</v>
      </c>
      <c r="AD15" s="615" t="s">
        <v>272</v>
      </c>
      <c r="AE15" s="615" t="s">
        <v>272</v>
      </c>
      <c r="AF15" s="615" t="s">
        <v>272</v>
      </c>
      <c r="AG15" s="615" t="s">
        <v>272</v>
      </c>
      <c r="AH15" s="615" t="s">
        <v>272</v>
      </c>
      <c r="AI15" s="615" t="s">
        <v>272</v>
      </c>
      <c r="AJ15" s="615" t="s">
        <v>272</v>
      </c>
      <c r="AK15" s="615" t="s">
        <v>272</v>
      </c>
      <c r="AL15" s="615" t="s">
        <v>272</v>
      </c>
      <c r="AM15" s="645"/>
    </row>
    <row r="16" s="621" customFormat="1" customHeight="1" spans="1:39">
      <c r="A16" s="646"/>
      <c r="B16" s="647"/>
      <c r="C16" s="646"/>
      <c r="D16" s="646"/>
      <c r="E16" s="648"/>
      <c r="F16" s="648"/>
      <c r="G16" s="646">
        <v>8</v>
      </c>
      <c r="H16" s="649" t="s">
        <v>720</v>
      </c>
      <c r="I16" s="651" t="s">
        <v>772</v>
      </c>
      <c r="J16" s="651" t="s">
        <v>774</v>
      </c>
      <c r="K16" s="652">
        <v>1</v>
      </c>
      <c r="L16" s="652">
        <v>12</v>
      </c>
      <c r="M16" s="650"/>
      <c r="N16" s="658"/>
      <c r="O16" s="645"/>
      <c r="P16" s="650"/>
      <c r="Q16" s="615" t="s">
        <v>93</v>
      </c>
      <c r="R16" s="650" t="s">
        <v>520</v>
      </c>
      <c r="S16" s="615" t="s">
        <v>266</v>
      </c>
      <c r="T16" s="615" t="s">
        <v>272</v>
      </c>
      <c r="U16" s="615" t="s">
        <v>266</v>
      </c>
      <c r="V16" s="615" t="s">
        <v>272</v>
      </c>
      <c r="W16" s="615" t="s">
        <v>272</v>
      </c>
      <c r="X16" s="615" t="s">
        <v>272</v>
      </c>
      <c r="Y16" s="615" t="s">
        <v>266</v>
      </c>
      <c r="Z16" s="615" t="s">
        <v>266</v>
      </c>
      <c r="AA16" s="615" t="s">
        <v>272</v>
      </c>
      <c r="AB16" s="615" t="s">
        <v>272</v>
      </c>
      <c r="AC16" s="615" t="s">
        <v>272</v>
      </c>
      <c r="AD16" s="615" t="s">
        <v>272</v>
      </c>
      <c r="AE16" s="615" t="s">
        <v>272</v>
      </c>
      <c r="AF16" s="615" t="s">
        <v>272</v>
      </c>
      <c r="AG16" s="615" t="s">
        <v>272</v>
      </c>
      <c r="AH16" s="615" t="s">
        <v>272</v>
      </c>
      <c r="AI16" s="615" t="s">
        <v>272</v>
      </c>
      <c r="AJ16" s="615" t="s">
        <v>272</v>
      </c>
      <c r="AK16" s="615" t="s">
        <v>272</v>
      </c>
      <c r="AL16" s="615" t="s">
        <v>272</v>
      </c>
      <c r="AM16" s="645"/>
    </row>
    <row r="17" s="621" customFormat="1" customHeight="1" spans="1:41">
      <c r="A17" s="646"/>
      <c r="B17" s="647"/>
      <c r="C17" s="646"/>
      <c r="D17" s="646"/>
      <c r="E17" s="648"/>
      <c r="F17" s="648"/>
      <c r="G17" s="646">
        <v>9</v>
      </c>
      <c r="H17" s="649" t="s">
        <v>720</v>
      </c>
      <c r="I17" s="651" t="s">
        <v>772</v>
      </c>
      <c r="J17" s="651" t="s">
        <v>775</v>
      </c>
      <c r="K17" s="652">
        <v>1</v>
      </c>
      <c r="L17" s="652">
        <v>31</v>
      </c>
      <c r="M17" s="645"/>
      <c r="N17" s="645"/>
      <c r="O17" s="645"/>
      <c r="P17" s="650"/>
      <c r="Q17" s="615" t="s">
        <v>93</v>
      </c>
      <c r="R17" s="650" t="s">
        <v>520</v>
      </c>
      <c r="S17" s="615" t="s">
        <v>266</v>
      </c>
      <c r="T17" s="615" t="s">
        <v>272</v>
      </c>
      <c r="U17" s="615" t="s">
        <v>266</v>
      </c>
      <c r="V17" s="615" t="s">
        <v>272</v>
      </c>
      <c r="W17" s="615" t="s">
        <v>272</v>
      </c>
      <c r="X17" s="615" t="s">
        <v>272</v>
      </c>
      <c r="Y17" s="615" t="s">
        <v>266</v>
      </c>
      <c r="Z17" s="615" t="s">
        <v>266</v>
      </c>
      <c r="AA17" s="615" t="s">
        <v>272</v>
      </c>
      <c r="AB17" s="615" t="s">
        <v>272</v>
      </c>
      <c r="AC17" s="615" t="s">
        <v>272</v>
      </c>
      <c r="AD17" s="615" t="s">
        <v>272</v>
      </c>
      <c r="AE17" s="615" t="s">
        <v>272</v>
      </c>
      <c r="AF17" s="615" t="s">
        <v>272</v>
      </c>
      <c r="AG17" s="615" t="s">
        <v>272</v>
      </c>
      <c r="AH17" s="615" t="s">
        <v>272</v>
      </c>
      <c r="AI17" s="615" t="s">
        <v>272</v>
      </c>
      <c r="AJ17" s="615" t="s">
        <v>272</v>
      </c>
      <c r="AK17" s="615" t="s">
        <v>272</v>
      </c>
      <c r="AL17" s="615" t="s">
        <v>272</v>
      </c>
      <c r="AM17" s="645"/>
    </row>
    <row r="18" s="621" customFormat="1" customHeight="1" spans="1:41">
      <c r="A18" s="646"/>
      <c r="B18" s="647"/>
      <c r="C18" s="646"/>
      <c r="D18" s="646"/>
      <c r="E18" s="648"/>
      <c r="F18" s="648"/>
      <c r="G18" s="646">
        <v>10</v>
      </c>
      <c r="H18" s="649" t="s">
        <v>720</v>
      </c>
      <c r="I18" s="651" t="s">
        <v>772</v>
      </c>
      <c r="J18" s="651" t="s">
        <v>776</v>
      </c>
      <c r="K18" s="652">
        <v>0</v>
      </c>
      <c r="L18" s="652">
        <v>23</v>
      </c>
      <c r="M18" s="645"/>
      <c r="N18" s="645"/>
      <c r="O18" s="645"/>
      <c r="P18" s="650"/>
      <c r="Q18" s="615" t="s">
        <v>93</v>
      </c>
      <c r="R18" s="650" t="s">
        <v>520</v>
      </c>
      <c r="S18" s="615" t="s">
        <v>266</v>
      </c>
      <c r="T18" s="615" t="s">
        <v>272</v>
      </c>
      <c r="U18" s="615" t="s">
        <v>266</v>
      </c>
      <c r="V18" s="615" t="s">
        <v>272</v>
      </c>
      <c r="W18" s="615" t="s">
        <v>272</v>
      </c>
      <c r="X18" s="615" t="s">
        <v>272</v>
      </c>
      <c r="Y18" s="615" t="s">
        <v>266</v>
      </c>
      <c r="Z18" s="615" t="s">
        <v>266</v>
      </c>
      <c r="AA18" s="615" t="s">
        <v>272</v>
      </c>
      <c r="AB18" s="615" t="s">
        <v>272</v>
      </c>
      <c r="AC18" s="615" t="s">
        <v>272</v>
      </c>
      <c r="AD18" s="615" t="s">
        <v>272</v>
      </c>
      <c r="AE18" s="615" t="s">
        <v>272</v>
      </c>
      <c r="AF18" s="615" t="s">
        <v>272</v>
      </c>
      <c r="AG18" s="615" t="s">
        <v>272</v>
      </c>
      <c r="AH18" s="615" t="s">
        <v>272</v>
      </c>
      <c r="AI18" s="615" t="s">
        <v>272</v>
      </c>
      <c r="AJ18" s="615" t="s">
        <v>272</v>
      </c>
      <c r="AK18" s="615" t="s">
        <v>272</v>
      </c>
      <c r="AL18" s="615" t="s">
        <v>272</v>
      </c>
      <c r="AM18" s="645"/>
    </row>
    <row r="19" s="621" customFormat="1" ht="14.5" spans="1:41">
      <c r="A19" s="646"/>
      <c r="B19" s="647"/>
      <c r="C19" s="646"/>
      <c r="D19" s="646"/>
      <c r="E19" s="648"/>
      <c r="F19" s="648"/>
      <c r="G19" s="646">
        <v>11</v>
      </c>
      <c r="H19" s="649" t="s">
        <v>720</v>
      </c>
      <c r="I19" s="651" t="s">
        <v>772</v>
      </c>
      <c r="J19" s="651" t="s">
        <v>777</v>
      </c>
      <c r="K19" s="652">
        <v>0</v>
      </c>
      <c r="L19" s="652">
        <v>59</v>
      </c>
      <c r="M19" s="650"/>
      <c r="N19" s="658"/>
      <c r="O19" s="645"/>
      <c r="P19" s="650"/>
      <c r="Q19" s="615" t="s">
        <v>93</v>
      </c>
      <c r="R19" s="650" t="s">
        <v>520</v>
      </c>
      <c r="S19" s="615" t="s">
        <v>266</v>
      </c>
      <c r="T19" s="615" t="s">
        <v>272</v>
      </c>
      <c r="U19" s="615" t="s">
        <v>266</v>
      </c>
      <c r="V19" s="615" t="s">
        <v>272</v>
      </c>
      <c r="W19" s="615" t="s">
        <v>272</v>
      </c>
      <c r="X19" s="615" t="s">
        <v>272</v>
      </c>
      <c r="Y19" s="615" t="s">
        <v>266</v>
      </c>
      <c r="Z19" s="615" t="s">
        <v>266</v>
      </c>
      <c r="AA19" s="615" t="s">
        <v>272</v>
      </c>
      <c r="AB19" s="615" t="s">
        <v>272</v>
      </c>
      <c r="AC19" s="615" t="s">
        <v>272</v>
      </c>
      <c r="AD19" s="615" t="s">
        <v>272</v>
      </c>
      <c r="AE19" s="615" t="s">
        <v>272</v>
      </c>
      <c r="AF19" s="615" t="s">
        <v>272</v>
      </c>
      <c r="AG19" s="615" t="s">
        <v>272</v>
      </c>
      <c r="AH19" s="615" t="s">
        <v>272</v>
      </c>
      <c r="AI19" s="615" t="s">
        <v>272</v>
      </c>
      <c r="AJ19" s="615" t="s">
        <v>272</v>
      </c>
      <c r="AK19" s="615" t="s">
        <v>272</v>
      </c>
      <c r="AL19" s="615" t="s">
        <v>272</v>
      </c>
      <c r="AM19" s="645"/>
    </row>
    <row r="20" ht="14.5" spans="1:41">
      <c r="A20" s="646"/>
      <c r="B20" s="647"/>
      <c r="C20" s="646"/>
      <c r="D20" s="646"/>
      <c r="E20" s="648"/>
      <c r="F20" s="648"/>
      <c r="G20" s="659">
        <v>12</v>
      </c>
      <c r="H20" s="649" t="s">
        <v>720</v>
      </c>
      <c r="I20" s="651" t="s">
        <v>772</v>
      </c>
      <c r="J20" s="651" t="s">
        <v>778</v>
      </c>
      <c r="K20" s="652">
        <v>0</v>
      </c>
      <c r="L20" s="652">
        <v>59</v>
      </c>
      <c r="M20" s="660"/>
      <c r="N20" s="660"/>
      <c r="O20" s="660"/>
      <c r="P20" s="660"/>
      <c r="Q20" s="615" t="s">
        <v>93</v>
      </c>
      <c r="R20" s="650" t="s">
        <v>520</v>
      </c>
      <c r="S20" s="615" t="s">
        <v>266</v>
      </c>
      <c r="T20" s="615" t="s">
        <v>272</v>
      </c>
      <c r="U20" s="615" t="s">
        <v>266</v>
      </c>
      <c r="V20" s="615" t="s">
        <v>272</v>
      </c>
      <c r="W20" s="615" t="s">
        <v>272</v>
      </c>
      <c r="X20" s="615" t="s">
        <v>272</v>
      </c>
      <c r="Y20" s="615" t="s">
        <v>266</v>
      </c>
      <c r="Z20" s="615" t="s">
        <v>266</v>
      </c>
      <c r="AA20" s="615" t="s">
        <v>272</v>
      </c>
      <c r="AB20" s="615" t="s">
        <v>272</v>
      </c>
      <c r="AC20" s="615" t="s">
        <v>272</v>
      </c>
      <c r="AD20" s="615" t="s">
        <v>272</v>
      </c>
      <c r="AE20" s="615" t="s">
        <v>272</v>
      </c>
      <c r="AF20" s="615" t="s">
        <v>272</v>
      </c>
      <c r="AG20" s="615" t="s">
        <v>272</v>
      </c>
      <c r="AH20" s="615" t="s">
        <v>272</v>
      </c>
      <c r="AI20" s="615" t="s">
        <v>272</v>
      </c>
      <c r="AJ20" s="615" t="s">
        <v>272</v>
      </c>
      <c r="AK20" s="615" t="s">
        <v>272</v>
      </c>
      <c r="AL20" s="615" t="s">
        <v>272</v>
      </c>
      <c r="AM20" s="645"/>
    </row>
    <row r="21" s="622" customFormat="1" ht="72.5" spans="1:41">
      <c r="A21" s="661" t="s">
        <v>779</v>
      </c>
      <c r="B21" s="662" t="s">
        <v>780</v>
      </c>
      <c r="C21" s="663" t="s">
        <v>781</v>
      </c>
      <c r="D21" s="663" t="s">
        <v>782</v>
      </c>
      <c r="E21" s="638" t="s">
        <v>476</v>
      </c>
      <c r="F21" s="664">
        <v>9</v>
      </c>
      <c r="G21" s="649" t="s">
        <v>757</v>
      </c>
      <c r="H21" s="649" t="s">
        <v>758</v>
      </c>
      <c r="I21" s="651" t="s">
        <v>759</v>
      </c>
      <c r="J21" s="651" t="s">
        <v>760</v>
      </c>
      <c r="K21" s="652">
        <v>0</v>
      </c>
      <c r="L21" s="652">
        <v>65535</v>
      </c>
      <c r="M21" s="656"/>
      <c r="N21" s="665"/>
      <c r="O21" s="654" t="s">
        <v>761</v>
      </c>
      <c r="P21" s="645"/>
      <c r="Q21" s="643" t="s">
        <v>93</v>
      </c>
      <c r="R21" s="643" t="s">
        <v>739</v>
      </c>
      <c r="S21" s="644" t="s">
        <v>266</v>
      </c>
      <c r="T21" s="644" t="s">
        <v>272</v>
      </c>
      <c r="U21" s="644" t="s">
        <v>266</v>
      </c>
      <c r="V21" s="644" t="s">
        <v>272</v>
      </c>
      <c r="W21" s="644" t="s">
        <v>272</v>
      </c>
      <c r="X21" s="644" t="s">
        <v>272</v>
      </c>
      <c r="Y21" s="644" t="s">
        <v>266</v>
      </c>
      <c r="Z21" s="644" t="s">
        <v>266</v>
      </c>
      <c r="AA21" s="644" t="s">
        <v>272</v>
      </c>
      <c r="AB21" s="644" t="s">
        <v>272</v>
      </c>
      <c r="AC21" s="644" t="s">
        <v>272</v>
      </c>
      <c r="AD21" s="644" t="s">
        <v>272</v>
      </c>
      <c r="AE21" s="644" t="s">
        <v>272</v>
      </c>
      <c r="AF21" s="644" t="s">
        <v>272</v>
      </c>
      <c r="AG21" s="644" t="s">
        <v>272</v>
      </c>
      <c r="AH21" s="644" t="s">
        <v>272</v>
      </c>
      <c r="AI21" s="644" t="s">
        <v>272</v>
      </c>
      <c r="AJ21" s="644" t="s">
        <v>272</v>
      </c>
      <c r="AK21" s="644" t="s">
        <v>272</v>
      </c>
      <c r="AL21" s="644" t="s">
        <v>272</v>
      </c>
      <c r="AM21" s="645"/>
      <c r="AN21" s="666"/>
      <c r="AO21" s="666"/>
    </row>
    <row r="22" s="620" customFormat="1" ht="14.5" spans="1:41">
      <c r="A22" s="667"/>
      <c r="B22" s="668"/>
      <c r="C22" s="669"/>
      <c r="D22" s="669"/>
      <c r="E22" s="638" t="s">
        <v>476</v>
      </c>
      <c r="F22" s="670"/>
      <c r="G22" s="1337" t="s">
        <v>783</v>
      </c>
      <c r="H22" s="672" t="s">
        <v>758</v>
      </c>
      <c r="I22" s="651" t="s">
        <v>784</v>
      </c>
      <c r="J22" s="651" t="s">
        <v>785</v>
      </c>
      <c r="K22" s="652">
        <v>0</v>
      </c>
      <c r="L22" s="652">
        <v>65535</v>
      </c>
      <c r="M22" s="656" t="s">
        <v>786</v>
      </c>
      <c r="N22" s="673"/>
      <c r="O22" s="673"/>
      <c r="P22" s="674"/>
      <c r="Q22" s="643" t="s">
        <v>93</v>
      </c>
      <c r="R22" s="643" t="s">
        <v>739</v>
      </c>
      <c r="S22" s="644" t="s">
        <v>266</v>
      </c>
      <c r="T22" s="644" t="s">
        <v>272</v>
      </c>
      <c r="U22" s="644" t="s">
        <v>266</v>
      </c>
      <c r="V22" s="644" t="s">
        <v>272</v>
      </c>
      <c r="W22" s="644" t="s">
        <v>272</v>
      </c>
      <c r="X22" s="644" t="s">
        <v>272</v>
      </c>
      <c r="Y22" s="644" t="s">
        <v>266</v>
      </c>
      <c r="Z22" s="644" t="s">
        <v>266</v>
      </c>
      <c r="AA22" s="644" t="s">
        <v>272</v>
      </c>
      <c r="AB22" s="644" t="s">
        <v>272</v>
      </c>
      <c r="AC22" s="644" t="s">
        <v>272</v>
      </c>
      <c r="AD22" s="644" t="s">
        <v>272</v>
      </c>
      <c r="AE22" s="644" t="s">
        <v>272</v>
      </c>
      <c r="AF22" s="644" t="s">
        <v>272</v>
      </c>
      <c r="AG22" s="644" t="s">
        <v>272</v>
      </c>
      <c r="AH22" s="644" t="s">
        <v>272</v>
      </c>
      <c r="AI22" s="644" t="s">
        <v>272</v>
      </c>
      <c r="AJ22" s="644" t="s">
        <v>272</v>
      </c>
      <c r="AK22" s="644" t="s">
        <v>272</v>
      </c>
      <c r="AL22" s="644" t="s">
        <v>272</v>
      </c>
      <c r="AM22" s="675"/>
    </row>
    <row r="23" s="620" customFormat="1" ht="14.5" spans="1:41">
      <c r="A23" s="667"/>
      <c r="B23" s="668"/>
      <c r="C23" s="669"/>
      <c r="D23" s="669"/>
      <c r="E23" s="638" t="s">
        <v>476</v>
      </c>
      <c r="F23" s="670"/>
      <c r="G23" s="1338" t="s">
        <v>787</v>
      </c>
      <c r="H23" s="649" t="s">
        <v>758</v>
      </c>
      <c r="I23" s="651" t="s">
        <v>763</v>
      </c>
      <c r="J23" s="651" t="s">
        <v>764</v>
      </c>
      <c r="K23" s="652">
        <v>0</v>
      </c>
      <c r="L23" s="652">
        <v>65535</v>
      </c>
      <c r="M23" s="656" t="s">
        <v>765</v>
      </c>
      <c r="N23" s="673"/>
      <c r="O23" s="673"/>
      <c r="P23" s="642"/>
      <c r="Q23" s="643" t="s">
        <v>93</v>
      </c>
      <c r="R23" s="643" t="s">
        <v>739</v>
      </c>
      <c r="S23" s="644" t="s">
        <v>266</v>
      </c>
      <c r="T23" s="644" t="s">
        <v>272</v>
      </c>
      <c r="U23" s="644" t="s">
        <v>266</v>
      </c>
      <c r="V23" s="644" t="s">
        <v>272</v>
      </c>
      <c r="W23" s="644" t="s">
        <v>272</v>
      </c>
      <c r="X23" s="644" t="s">
        <v>272</v>
      </c>
      <c r="Y23" s="644" t="s">
        <v>266</v>
      </c>
      <c r="Z23" s="644" t="s">
        <v>266</v>
      </c>
      <c r="AA23" s="644" t="s">
        <v>272</v>
      </c>
      <c r="AB23" s="644" t="s">
        <v>272</v>
      </c>
      <c r="AC23" s="644" t="s">
        <v>272</v>
      </c>
      <c r="AD23" s="644" t="s">
        <v>272</v>
      </c>
      <c r="AE23" s="644" t="s">
        <v>272</v>
      </c>
      <c r="AF23" s="644" t="s">
        <v>272</v>
      </c>
      <c r="AG23" s="644" t="s">
        <v>272</v>
      </c>
      <c r="AH23" s="644" t="s">
        <v>272</v>
      </c>
      <c r="AI23" s="644" t="s">
        <v>272</v>
      </c>
      <c r="AJ23" s="644" t="s">
        <v>272</v>
      </c>
      <c r="AK23" s="644" t="s">
        <v>272</v>
      </c>
      <c r="AL23" s="644" t="s">
        <v>272</v>
      </c>
      <c r="AM23" s="645"/>
    </row>
    <row r="24" s="620" customFormat="1" ht="14.5" spans="1:41">
      <c r="A24" s="667"/>
      <c r="B24" s="668"/>
      <c r="C24" s="669"/>
      <c r="D24" s="669"/>
      <c r="E24" s="638" t="s">
        <v>476</v>
      </c>
      <c r="F24" s="670"/>
      <c r="G24" s="1338" t="s">
        <v>788</v>
      </c>
      <c r="H24" s="649" t="s">
        <v>758</v>
      </c>
      <c r="I24" s="651" t="s">
        <v>766</v>
      </c>
      <c r="J24" s="651" t="s">
        <v>767</v>
      </c>
      <c r="K24" s="657">
        <v>0</v>
      </c>
      <c r="L24" s="657">
        <v>6553.5</v>
      </c>
      <c r="M24" s="657" t="s">
        <v>768</v>
      </c>
      <c r="N24" s="621"/>
      <c r="O24" s="621"/>
      <c r="P24" s="642"/>
      <c r="Q24" s="643" t="s">
        <v>93</v>
      </c>
      <c r="R24" s="643" t="s">
        <v>739</v>
      </c>
      <c r="S24" s="644" t="s">
        <v>266</v>
      </c>
      <c r="T24" s="644" t="s">
        <v>272</v>
      </c>
      <c r="U24" s="644" t="s">
        <v>266</v>
      </c>
      <c r="V24" s="644" t="s">
        <v>272</v>
      </c>
      <c r="W24" s="644" t="s">
        <v>272</v>
      </c>
      <c r="X24" s="644" t="s">
        <v>272</v>
      </c>
      <c r="Y24" s="644" t="s">
        <v>266</v>
      </c>
      <c r="Z24" s="644" t="s">
        <v>266</v>
      </c>
      <c r="AA24" s="644" t="s">
        <v>272</v>
      </c>
      <c r="AB24" s="644" t="s">
        <v>272</v>
      </c>
      <c r="AC24" s="644" t="s">
        <v>272</v>
      </c>
      <c r="AD24" s="644" t="s">
        <v>272</v>
      </c>
      <c r="AE24" s="644" t="s">
        <v>272</v>
      </c>
      <c r="AF24" s="644" t="s">
        <v>272</v>
      </c>
      <c r="AG24" s="644" t="s">
        <v>272</v>
      </c>
      <c r="AH24" s="644" t="s">
        <v>272</v>
      </c>
      <c r="AI24" s="644" t="s">
        <v>272</v>
      </c>
      <c r="AJ24" s="644" t="s">
        <v>272</v>
      </c>
      <c r="AK24" s="644" t="s">
        <v>272</v>
      </c>
      <c r="AL24" s="644" t="s">
        <v>272</v>
      </c>
      <c r="AM24" s="645"/>
    </row>
    <row r="25" s="620" customFormat="1" ht="14.5" spans="1:41">
      <c r="A25" s="667"/>
      <c r="B25" s="668"/>
      <c r="C25" s="669"/>
      <c r="D25" s="669"/>
      <c r="E25" s="638" t="s">
        <v>476</v>
      </c>
      <c r="F25" s="670"/>
      <c r="G25" s="1338" t="s">
        <v>789</v>
      </c>
      <c r="H25" s="649" t="s">
        <v>720</v>
      </c>
      <c r="I25" s="651" t="s">
        <v>769</v>
      </c>
      <c r="J25" s="651" t="s">
        <v>770</v>
      </c>
      <c r="K25" s="652">
        <v>-40</v>
      </c>
      <c r="L25" s="652">
        <v>215</v>
      </c>
      <c r="M25" s="656" t="s">
        <v>771</v>
      </c>
      <c r="N25" s="673"/>
      <c r="O25" s="673"/>
      <c r="P25" s="642"/>
      <c r="Q25" s="643" t="s">
        <v>93</v>
      </c>
      <c r="R25" s="643" t="s">
        <v>739</v>
      </c>
      <c r="S25" s="644" t="s">
        <v>266</v>
      </c>
      <c r="T25" s="644" t="s">
        <v>272</v>
      </c>
      <c r="U25" s="644" t="s">
        <v>266</v>
      </c>
      <c r="V25" s="644" t="s">
        <v>272</v>
      </c>
      <c r="W25" s="644" t="s">
        <v>272</v>
      </c>
      <c r="X25" s="644" t="s">
        <v>272</v>
      </c>
      <c r="Y25" s="644" t="s">
        <v>266</v>
      </c>
      <c r="Z25" s="644" t="s">
        <v>266</v>
      </c>
      <c r="AA25" s="644" t="s">
        <v>272</v>
      </c>
      <c r="AB25" s="644" t="s">
        <v>272</v>
      </c>
      <c r="AC25" s="644" t="s">
        <v>272</v>
      </c>
      <c r="AD25" s="644" t="s">
        <v>272</v>
      </c>
      <c r="AE25" s="644" t="s">
        <v>272</v>
      </c>
      <c r="AF25" s="644" t="s">
        <v>272</v>
      </c>
      <c r="AG25" s="644" t="s">
        <v>272</v>
      </c>
      <c r="AH25" s="644" t="s">
        <v>272</v>
      </c>
      <c r="AI25" s="644" t="s">
        <v>272</v>
      </c>
      <c r="AJ25" s="644" t="s">
        <v>272</v>
      </c>
      <c r="AK25" s="644" t="s">
        <v>272</v>
      </c>
      <c r="AL25" s="644" t="s">
        <v>272</v>
      </c>
      <c r="AM25" s="645"/>
    </row>
    <row r="26" s="620" customFormat="1" ht="14.5" spans="1:41">
      <c r="A26" s="677"/>
      <c r="B26" s="647" t="s">
        <v>790</v>
      </c>
      <c r="C26" s="678" t="s">
        <v>791</v>
      </c>
      <c r="D26" s="678" t="s">
        <v>792</v>
      </c>
      <c r="E26" s="679" t="s">
        <v>476</v>
      </c>
      <c r="F26" s="680">
        <v>1</v>
      </c>
      <c r="G26" s="1338" t="s">
        <v>618</v>
      </c>
      <c r="H26" s="649" t="s">
        <v>720</v>
      </c>
      <c r="I26" s="651" t="s">
        <v>791</v>
      </c>
      <c r="J26" s="651" t="s">
        <v>793</v>
      </c>
      <c r="K26" s="652">
        <v>0</v>
      </c>
      <c r="L26" s="652">
        <v>25.5</v>
      </c>
      <c r="M26" s="656" t="s">
        <v>794</v>
      </c>
      <c r="N26" s="673"/>
      <c r="O26" s="673"/>
      <c r="P26" s="642"/>
      <c r="Q26" s="643" t="s">
        <v>93</v>
      </c>
      <c r="R26" s="643" t="s">
        <v>739</v>
      </c>
      <c r="S26" s="644" t="s">
        <v>266</v>
      </c>
      <c r="T26" s="644" t="s">
        <v>272</v>
      </c>
      <c r="U26" s="644" t="s">
        <v>266</v>
      </c>
      <c r="V26" s="644" t="s">
        <v>272</v>
      </c>
      <c r="W26" s="644" t="s">
        <v>272</v>
      </c>
      <c r="X26" s="644" t="s">
        <v>272</v>
      </c>
      <c r="Y26" s="644" t="s">
        <v>266</v>
      </c>
      <c r="Z26" s="644" t="s">
        <v>266</v>
      </c>
      <c r="AA26" s="644" t="s">
        <v>272</v>
      </c>
      <c r="AB26" s="644" t="s">
        <v>272</v>
      </c>
      <c r="AC26" s="644" t="s">
        <v>272</v>
      </c>
      <c r="AD26" s="644" t="s">
        <v>272</v>
      </c>
      <c r="AE26" s="644" t="s">
        <v>272</v>
      </c>
      <c r="AF26" s="644" t="s">
        <v>272</v>
      </c>
      <c r="AG26" s="644" t="s">
        <v>272</v>
      </c>
      <c r="AH26" s="644" t="s">
        <v>272</v>
      </c>
      <c r="AI26" s="644" t="s">
        <v>272</v>
      </c>
      <c r="AJ26" s="644" t="s">
        <v>272</v>
      </c>
      <c r="AK26" s="644" t="s">
        <v>272</v>
      </c>
      <c r="AL26" s="644" t="s">
        <v>272</v>
      </c>
      <c r="AM26" s="645"/>
    </row>
    <row r="27" s="620" customFormat="1" ht="14.5" spans="1:41">
      <c r="A27" s="677"/>
      <c r="B27" s="647" t="s">
        <v>795</v>
      </c>
      <c r="C27" s="678" t="s">
        <v>796</v>
      </c>
      <c r="D27" s="678" t="s">
        <v>797</v>
      </c>
      <c r="E27" s="679" t="s">
        <v>476</v>
      </c>
      <c r="F27" s="680">
        <v>2</v>
      </c>
      <c r="G27" s="1338" t="s">
        <v>757</v>
      </c>
      <c r="H27" s="649" t="s">
        <v>758</v>
      </c>
      <c r="I27" s="651" t="s">
        <v>796</v>
      </c>
      <c r="J27" s="651" t="s">
        <v>798</v>
      </c>
      <c r="K27" s="652">
        <v>0</v>
      </c>
      <c r="L27" s="652">
        <v>460.74375</v>
      </c>
      <c r="M27" s="656" t="s">
        <v>799</v>
      </c>
      <c r="N27" s="673"/>
      <c r="O27" s="673"/>
      <c r="P27" s="642"/>
      <c r="Q27" s="643" t="s">
        <v>93</v>
      </c>
      <c r="R27" s="643" t="s">
        <v>739</v>
      </c>
      <c r="S27" s="644" t="s">
        <v>266</v>
      </c>
      <c r="T27" s="644" t="s">
        <v>272</v>
      </c>
      <c r="U27" s="644" t="s">
        <v>266</v>
      </c>
      <c r="V27" s="644" t="s">
        <v>272</v>
      </c>
      <c r="W27" s="644" t="s">
        <v>272</v>
      </c>
      <c r="X27" s="644" t="s">
        <v>272</v>
      </c>
      <c r="Y27" s="644" t="s">
        <v>266</v>
      </c>
      <c r="Z27" s="644" t="s">
        <v>266</v>
      </c>
      <c r="AA27" s="644" t="s">
        <v>272</v>
      </c>
      <c r="AB27" s="644" t="s">
        <v>272</v>
      </c>
      <c r="AC27" s="644" t="s">
        <v>272</v>
      </c>
      <c r="AD27" s="644" t="s">
        <v>272</v>
      </c>
      <c r="AE27" s="644" t="s">
        <v>272</v>
      </c>
      <c r="AF27" s="644" t="s">
        <v>272</v>
      </c>
      <c r="AG27" s="644" t="s">
        <v>272</v>
      </c>
      <c r="AH27" s="644" t="s">
        <v>272</v>
      </c>
      <c r="AI27" s="644" t="s">
        <v>272</v>
      </c>
      <c r="AJ27" s="644" t="s">
        <v>272</v>
      </c>
      <c r="AK27" s="644" t="s">
        <v>272</v>
      </c>
      <c r="AL27" s="644" t="s">
        <v>272</v>
      </c>
      <c r="AM27" s="645"/>
    </row>
    <row r="28" s="620" customFormat="1" ht="14.5" spans="1:41">
      <c r="A28" s="677"/>
      <c r="B28" s="647" t="s">
        <v>800</v>
      </c>
      <c r="C28" s="678" t="s">
        <v>801</v>
      </c>
      <c r="D28" s="678" t="s">
        <v>802</v>
      </c>
      <c r="E28" s="679" t="s">
        <v>476</v>
      </c>
      <c r="F28" s="680">
        <v>3</v>
      </c>
      <c r="G28" s="1338" t="s">
        <v>803</v>
      </c>
      <c r="H28" s="649" t="s">
        <v>804</v>
      </c>
      <c r="I28" s="651" t="s">
        <v>801</v>
      </c>
      <c r="J28" s="651" t="s">
        <v>805</v>
      </c>
      <c r="K28" s="652">
        <v>0</v>
      </c>
      <c r="L28" s="652">
        <v>1048575</v>
      </c>
      <c r="M28" s="656" t="s">
        <v>799</v>
      </c>
      <c r="N28" s="673"/>
      <c r="O28" s="673"/>
      <c r="P28" s="642"/>
      <c r="Q28" s="643" t="s">
        <v>93</v>
      </c>
      <c r="R28" s="643" t="s">
        <v>739</v>
      </c>
      <c r="S28" s="644" t="s">
        <v>266</v>
      </c>
      <c r="T28" s="644" t="s">
        <v>272</v>
      </c>
      <c r="U28" s="644" t="s">
        <v>266</v>
      </c>
      <c r="V28" s="644" t="s">
        <v>272</v>
      </c>
      <c r="W28" s="644" t="s">
        <v>272</v>
      </c>
      <c r="X28" s="644" t="s">
        <v>272</v>
      </c>
      <c r="Y28" s="644" t="s">
        <v>266</v>
      </c>
      <c r="Z28" s="644" t="s">
        <v>266</v>
      </c>
      <c r="AA28" s="644" t="s">
        <v>272</v>
      </c>
      <c r="AB28" s="644" t="s">
        <v>272</v>
      </c>
      <c r="AC28" s="644" t="s">
        <v>272</v>
      </c>
      <c r="AD28" s="644" t="s">
        <v>272</v>
      </c>
      <c r="AE28" s="644" t="s">
        <v>272</v>
      </c>
      <c r="AF28" s="644" t="s">
        <v>272</v>
      </c>
      <c r="AG28" s="644" t="s">
        <v>272</v>
      </c>
      <c r="AH28" s="644" t="s">
        <v>272</v>
      </c>
      <c r="AI28" s="644" t="s">
        <v>272</v>
      </c>
      <c r="AJ28" s="644" t="s">
        <v>272</v>
      </c>
      <c r="AK28" s="644" t="s">
        <v>272</v>
      </c>
      <c r="AL28" s="644" t="s">
        <v>272</v>
      </c>
      <c r="AM28" s="645"/>
    </row>
    <row r="29" s="620" customFormat="1" ht="14.5" spans="1:41">
      <c r="A29" s="681" t="s">
        <v>806</v>
      </c>
      <c r="B29" s="647" t="s">
        <v>807</v>
      </c>
      <c r="C29" s="650" t="s">
        <v>772</v>
      </c>
      <c r="D29" s="650" t="s">
        <v>808</v>
      </c>
      <c r="E29" s="679" t="s">
        <v>476</v>
      </c>
      <c r="F29" s="652">
        <v>6</v>
      </c>
      <c r="G29" s="652">
        <v>0</v>
      </c>
      <c r="H29" s="649" t="s">
        <v>720</v>
      </c>
      <c r="I29" s="651" t="s">
        <v>772</v>
      </c>
      <c r="J29" s="651" t="s">
        <v>773</v>
      </c>
      <c r="K29" s="652">
        <v>2000</v>
      </c>
      <c r="L29" s="652">
        <v>2255</v>
      </c>
      <c r="M29" s="673" t="s">
        <v>193</v>
      </c>
      <c r="N29" s="673" t="s">
        <v>193</v>
      </c>
      <c r="O29" s="673" t="s">
        <v>193</v>
      </c>
      <c r="P29" s="642"/>
      <c r="Q29" s="643" t="s">
        <v>93</v>
      </c>
      <c r="R29" s="643" t="s">
        <v>739</v>
      </c>
      <c r="S29" s="644" t="s">
        <v>266</v>
      </c>
      <c r="T29" s="644" t="s">
        <v>272</v>
      </c>
      <c r="U29" s="644" t="s">
        <v>266</v>
      </c>
      <c r="V29" s="644" t="s">
        <v>272</v>
      </c>
      <c r="W29" s="644" t="s">
        <v>272</v>
      </c>
      <c r="X29" s="644" t="s">
        <v>272</v>
      </c>
      <c r="Y29" s="644" t="s">
        <v>266</v>
      </c>
      <c r="Z29" s="644" t="s">
        <v>266</v>
      </c>
      <c r="AA29" s="644" t="s">
        <v>272</v>
      </c>
      <c r="AB29" s="644" t="s">
        <v>272</v>
      </c>
      <c r="AC29" s="644" t="s">
        <v>272</v>
      </c>
      <c r="AD29" s="644" t="s">
        <v>272</v>
      </c>
      <c r="AE29" s="644" t="s">
        <v>272</v>
      </c>
      <c r="AF29" s="644" t="s">
        <v>272</v>
      </c>
      <c r="AG29" s="644" t="s">
        <v>272</v>
      </c>
      <c r="AH29" s="644" t="s">
        <v>272</v>
      </c>
      <c r="AI29" s="644" t="s">
        <v>272</v>
      </c>
      <c r="AJ29" s="644" t="s">
        <v>272</v>
      </c>
      <c r="AK29" s="644" t="s">
        <v>272</v>
      </c>
      <c r="AL29" s="644" t="s">
        <v>272</v>
      </c>
      <c r="AM29" s="645"/>
    </row>
    <row r="30" s="620" customFormat="1" ht="14.5" spans="1:41">
      <c r="A30" s="681"/>
      <c r="B30" s="647"/>
      <c r="C30" s="650"/>
      <c r="D30" s="650"/>
      <c r="E30" s="682"/>
      <c r="F30" s="652"/>
      <c r="G30" s="652">
        <v>1</v>
      </c>
      <c r="H30" s="649" t="s">
        <v>720</v>
      </c>
      <c r="I30" s="651" t="s">
        <v>772</v>
      </c>
      <c r="J30" s="651" t="s">
        <v>774</v>
      </c>
      <c r="K30" s="652">
        <v>1</v>
      </c>
      <c r="L30" s="652">
        <v>12</v>
      </c>
      <c r="M30" s="673" t="s">
        <v>193</v>
      </c>
      <c r="N30" s="673" t="s">
        <v>193</v>
      </c>
      <c r="O30" s="673" t="s">
        <v>193</v>
      </c>
      <c r="P30" s="642"/>
      <c r="Q30" s="643" t="s">
        <v>93</v>
      </c>
      <c r="R30" s="643" t="s">
        <v>739</v>
      </c>
      <c r="S30" s="644" t="s">
        <v>266</v>
      </c>
      <c r="T30" s="644" t="s">
        <v>272</v>
      </c>
      <c r="U30" s="644" t="s">
        <v>266</v>
      </c>
      <c r="V30" s="644" t="s">
        <v>272</v>
      </c>
      <c r="W30" s="644" t="s">
        <v>272</v>
      </c>
      <c r="X30" s="644" t="s">
        <v>272</v>
      </c>
      <c r="Y30" s="644" t="s">
        <v>266</v>
      </c>
      <c r="Z30" s="644" t="s">
        <v>266</v>
      </c>
      <c r="AA30" s="644" t="s">
        <v>272</v>
      </c>
      <c r="AB30" s="644" t="s">
        <v>272</v>
      </c>
      <c r="AC30" s="644" t="s">
        <v>272</v>
      </c>
      <c r="AD30" s="644" t="s">
        <v>272</v>
      </c>
      <c r="AE30" s="644" t="s">
        <v>272</v>
      </c>
      <c r="AF30" s="644" t="s">
        <v>272</v>
      </c>
      <c r="AG30" s="644" t="s">
        <v>272</v>
      </c>
      <c r="AH30" s="644" t="s">
        <v>272</v>
      </c>
      <c r="AI30" s="644" t="s">
        <v>272</v>
      </c>
      <c r="AJ30" s="644" t="s">
        <v>272</v>
      </c>
      <c r="AK30" s="644" t="s">
        <v>272</v>
      </c>
      <c r="AL30" s="644" t="s">
        <v>272</v>
      </c>
      <c r="AM30" s="645"/>
    </row>
    <row r="31" s="620" customFormat="1" ht="14.5" spans="1:41">
      <c r="A31" s="681"/>
      <c r="B31" s="647"/>
      <c r="C31" s="650"/>
      <c r="D31" s="650"/>
      <c r="E31" s="682"/>
      <c r="F31" s="652"/>
      <c r="G31" s="652">
        <v>2</v>
      </c>
      <c r="H31" s="649" t="s">
        <v>720</v>
      </c>
      <c r="I31" s="651" t="s">
        <v>772</v>
      </c>
      <c r="J31" s="651" t="s">
        <v>775</v>
      </c>
      <c r="K31" s="652">
        <v>1</v>
      </c>
      <c r="L31" s="652">
        <v>31</v>
      </c>
      <c r="M31" s="673" t="s">
        <v>193</v>
      </c>
      <c r="N31" s="673" t="s">
        <v>193</v>
      </c>
      <c r="O31" s="673" t="s">
        <v>193</v>
      </c>
      <c r="P31" s="642"/>
      <c r="Q31" s="643" t="s">
        <v>93</v>
      </c>
      <c r="R31" s="643" t="s">
        <v>739</v>
      </c>
      <c r="S31" s="644" t="s">
        <v>266</v>
      </c>
      <c r="T31" s="644" t="s">
        <v>272</v>
      </c>
      <c r="U31" s="644" t="s">
        <v>266</v>
      </c>
      <c r="V31" s="644" t="s">
        <v>272</v>
      </c>
      <c r="W31" s="644" t="s">
        <v>272</v>
      </c>
      <c r="X31" s="644" t="s">
        <v>272</v>
      </c>
      <c r="Y31" s="644" t="s">
        <v>266</v>
      </c>
      <c r="Z31" s="644" t="s">
        <v>266</v>
      </c>
      <c r="AA31" s="644" t="s">
        <v>272</v>
      </c>
      <c r="AB31" s="644" t="s">
        <v>272</v>
      </c>
      <c r="AC31" s="644" t="s">
        <v>272</v>
      </c>
      <c r="AD31" s="644" t="s">
        <v>272</v>
      </c>
      <c r="AE31" s="644" t="s">
        <v>272</v>
      </c>
      <c r="AF31" s="644" t="s">
        <v>272</v>
      </c>
      <c r="AG31" s="644" t="s">
        <v>272</v>
      </c>
      <c r="AH31" s="644" t="s">
        <v>272</v>
      </c>
      <c r="AI31" s="644" t="s">
        <v>272</v>
      </c>
      <c r="AJ31" s="644" t="s">
        <v>272</v>
      </c>
      <c r="AK31" s="644" t="s">
        <v>272</v>
      </c>
      <c r="AL31" s="644" t="s">
        <v>272</v>
      </c>
      <c r="AM31" s="645"/>
    </row>
    <row r="32" s="620" customFormat="1" ht="14.5" spans="1:41">
      <c r="A32" s="681"/>
      <c r="B32" s="647"/>
      <c r="C32" s="650"/>
      <c r="D32" s="650"/>
      <c r="E32" s="682"/>
      <c r="F32" s="652"/>
      <c r="G32" s="652">
        <v>3</v>
      </c>
      <c r="H32" s="649" t="s">
        <v>720</v>
      </c>
      <c r="I32" s="651" t="s">
        <v>772</v>
      </c>
      <c r="J32" s="651" t="s">
        <v>776</v>
      </c>
      <c r="K32" s="652">
        <v>0</v>
      </c>
      <c r="L32" s="652">
        <v>23</v>
      </c>
      <c r="M32" s="673" t="s">
        <v>193</v>
      </c>
      <c r="N32" s="673" t="s">
        <v>193</v>
      </c>
      <c r="O32" s="673" t="s">
        <v>193</v>
      </c>
      <c r="P32" s="642"/>
      <c r="Q32" s="643" t="s">
        <v>93</v>
      </c>
      <c r="R32" s="643" t="s">
        <v>739</v>
      </c>
      <c r="S32" s="644" t="s">
        <v>266</v>
      </c>
      <c r="T32" s="644" t="s">
        <v>272</v>
      </c>
      <c r="U32" s="644" t="s">
        <v>266</v>
      </c>
      <c r="V32" s="644" t="s">
        <v>272</v>
      </c>
      <c r="W32" s="644" t="s">
        <v>272</v>
      </c>
      <c r="X32" s="644" t="s">
        <v>272</v>
      </c>
      <c r="Y32" s="644" t="s">
        <v>266</v>
      </c>
      <c r="Z32" s="644" t="s">
        <v>266</v>
      </c>
      <c r="AA32" s="644" t="s">
        <v>272</v>
      </c>
      <c r="AB32" s="644" t="s">
        <v>272</v>
      </c>
      <c r="AC32" s="644" t="s">
        <v>272</v>
      </c>
      <c r="AD32" s="644" t="s">
        <v>272</v>
      </c>
      <c r="AE32" s="644" t="s">
        <v>272</v>
      </c>
      <c r="AF32" s="644" t="s">
        <v>272</v>
      </c>
      <c r="AG32" s="644" t="s">
        <v>272</v>
      </c>
      <c r="AH32" s="644" t="s">
        <v>272</v>
      </c>
      <c r="AI32" s="644" t="s">
        <v>272</v>
      </c>
      <c r="AJ32" s="644" t="s">
        <v>272</v>
      </c>
      <c r="AK32" s="644" t="s">
        <v>272</v>
      </c>
      <c r="AL32" s="644" t="s">
        <v>272</v>
      </c>
      <c r="AM32" s="645"/>
    </row>
    <row r="33" s="620" customFormat="1" ht="14.5" spans="1:39">
      <c r="A33" s="681"/>
      <c r="B33" s="647"/>
      <c r="C33" s="650"/>
      <c r="D33" s="650"/>
      <c r="E33" s="682"/>
      <c r="F33" s="652"/>
      <c r="G33" s="652">
        <v>4</v>
      </c>
      <c r="H33" s="649" t="s">
        <v>720</v>
      </c>
      <c r="I33" s="651" t="s">
        <v>772</v>
      </c>
      <c r="J33" s="651" t="s">
        <v>777</v>
      </c>
      <c r="K33" s="652">
        <v>0</v>
      </c>
      <c r="L33" s="652">
        <v>59</v>
      </c>
      <c r="M33" s="673" t="s">
        <v>193</v>
      </c>
      <c r="N33" s="673" t="s">
        <v>193</v>
      </c>
      <c r="O33" s="673" t="s">
        <v>193</v>
      </c>
      <c r="P33" s="642"/>
      <c r="Q33" s="643" t="s">
        <v>93</v>
      </c>
      <c r="R33" s="643" t="s">
        <v>739</v>
      </c>
      <c r="S33" s="644" t="s">
        <v>266</v>
      </c>
      <c r="T33" s="644" t="s">
        <v>272</v>
      </c>
      <c r="U33" s="644" t="s">
        <v>266</v>
      </c>
      <c r="V33" s="644" t="s">
        <v>272</v>
      </c>
      <c r="W33" s="644" t="s">
        <v>272</v>
      </c>
      <c r="X33" s="644" t="s">
        <v>272</v>
      </c>
      <c r="Y33" s="644" t="s">
        <v>266</v>
      </c>
      <c r="Z33" s="644" t="s">
        <v>266</v>
      </c>
      <c r="AA33" s="644" t="s">
        <v>272</v>
      </c>
      <c r="AB33" s="644" t="s">
        <v>272</v>
      </c>
      <c r="AC33" s="644" t="s">
        <v>272</v>
      </c>
      <c r="AD33" s="644" t="s">
        <v>272</v>
      </c>
      <c r="AE33" s="644" t="s">
        <v>272</v>
      </c>
      <c r="AF33" s="644" t="s">
        <v>272</v>
      </c>
      <c r="AG33" s="644" t="s">
        <v>272</v>
      </c>
      <c r="AH33" s="644" t="s">
        <v>272</v>
      </c>
      <c r="AI33" s="644" t="s">
        <v>272</v>
      </c>
      <c r="AJ33" s="644" t="s">
        <v>272</v>
      </c>
      <c r="AK33" s="644" t="s">
        <v>272</v>
      </c>
      <c r="AL33" s="644" t="s">
        <v>272</v>
      </c>
      <c r="AM33" s="645"/>
    </row>
    <row r="34" s="620" customFormat="1" ht="14.5" spans="1:39">
      <c r="A34" s="681"/>
      <c r="B34" s="647"/>
      <c r="C34" s="650"/>
      <c r="D34" s="650"/>
      <c r="E34" s="683"/>
      <c r="F34" s="652"/>
      <c r="G34" s="652">
        <v>5</v>
      </c>
      <c r="H34" s="649" t="s">
        <v>720</v>
      </c>
      <c r="I34" s="651" t="s">
        <v>772</v>
      </c>
      <c r="J34" s="651" t="s">
        <v>778</v>
      </c>
      <c r="K34" s="652">
        <v>0</v>
      </c>
      <c r="L34" s="652">
        <v>59</v>
      </c>
      <c r="M34" s="673" t="s">
        <v>193</v>
      </c>
      <c r="N34" s="673" t="s">
        <v>193</v>
      </c>
      <c r="O34" s="673" t="s">
        <v>193</v>
      </c>
      <c r="P34" s="642"/>
      <c r="Q34" s="643" t="s">
        <v>93</v>
      </c>
      <c r="R34" s="643" t="s">
        <v>739</v>
      </c>
      <c r="S34" s="644" t="s">
        <v>266</v>
      </c>
      <c r="T34" s="644" t="s">
        <v>272</v>
      </c>
      <c r="U34" s="644" t="s">
        <v>266</v>
      </c>
      <c r="V34" s="644" t="s">
        <v>272</v>
      </c>
      <c r="W34" s="644" t="s">
        <v>272</v>
      </c>
      <c r="X34" s="644" t="s">
        <v>272</v>
      </c>
      <c r="Y34" s="644" t="s">
        <v>266</v>
      </c>
      <c r="Z34" s="644" t="s">
        <v>266</v>
      </c>
      <c r="AA34" s="644" t="s">
        <v>272</v>
      </c>
      <c r="AB34" s="644" t="s">
        <v>272</v>
      </c>
      <c r="AC34" s="644" t="s">
        <v>272</v>
      </c>
      <c r="AD34" s="644" t="s">
        <v>272</v>
      </c>
      <c r="AE34" s="644" t="s">
        <v>272</v>
      </c>
      <c r="AF34" s="644" t="s">
        <v>272</v>
      </c>
      <c r="AG34" s="644" t="s">
        <v>272</v>
      </c>
      <c r="AH34" s="644" t="s">
        <v>272</v>
      </c>
      <c r="AI34" s="644" t="s">
        <v>272</v>
      </c>
      <c r="AJ34" s="644" t="s">
        <v>272</v>
      </c>
      <c r="AK34" s="644" t="s">
        <v>272</v>
      </c>
      <c r="AL34" s="644" t="s">
        <v>272</v>
      </c>
      <c r="AM34" s="645"/>
    </row>
    <row r="35" s="620" customFormat="1" ht="14.5" spans="1:39">
      <c r="A35" s="681"/>
      <c r="B35" s="647" t="s">
        <v>809</v>
      </c>
      <c r="C35" s="678" t="s">
        <v>810</v>
      </c>
      <c r="D35" s="678" t="s">
        <v>811</v>
      </c>
      <c r="E35" s="638" t="s">
        <v>476</v>
      </c>
      <c r="F35" s="647">
        <v>1</v>
      </c>
      <c r="G35" s="652">
        <v>1</v>
      </c>
      <c r="H35" s="649"/>
      <c r="I35" s="651" t="s">
        <v>810</v>
      </c>
      <c r="J35" s="651" t="s">
        <v>811</v>
      </c>
      <c r="K35" s="652"/>
      <c r="L35" s="652"/>
      <c r="M35" s="673"/>
      <c r="N35" s="673"/>
      <c r="O35" s="673"/>
      <c r="P35" s="642"/>
      <c r="Q35" s="643" t="s">
        <v>93</v>
      </c>
      <c r="R35" s="643" t="s">
        <v>739</v>
      </c>
      <c r="S35" s="644" t="s">
        <v>266</v>
      </c>
      <c r="T35" s="644" t="s">
        <v>272</v>
      </c>
      <c r="U35" s="644" t="s">
        <v>266</v>
      </c>
      <c r="V35" s="644" t="s">
        <v>272</v>
      </c>
      <c r="W35" s="644" t="s">
        <v>272</v>
      </c>
      <c r="X35" s="644" t="s">
        <v>272</v>
      </c>
      <c r="Y35" s="644" t="s">
        <v>266</v>
      </c>
      <c r="Z35" s="644" t="s">
        <v>266</v>
      </c>
      <c r="AA35" s="644" t="s">
        <v>272</v>
      </c>
      <c r="AB35" s="644" t="s">
        <v>272</v>
      </c>
      <c r="AC35" s="644" t="s">
        <v>272</v>
      </c>
      <c r="AD35" s="644" t="s">
        <v>272</v>
      </c>
      <c r="AE35" s="644" t="s">
        <v>272</v>
      </c>
      <c r="AF35" s="644" t="s">
        <v>272</v>
      </c>
      <c r="AG35" s="644" t="s">
        <v>272</v>
      </c>
      <c r="AH35" s="644" t="s">
        <v>272</v>
      </c>
      <c r="AI35" s="644" t="s">
        <v>272</v>
      </c>
      <c r="AJ35" s="644" t="s">
        <v>272</v>
      </c>
      <c r="AK35" s="644" t="s">
        <v>272</v>
      </c>
      <c r="AL35" s="644" t="s">
        <v>272</v>
      </c>
      <c r="AM35" s="645"/>
    </row>
    <row r="36" s="620" customFormat="1" ht="130.5" spans="1:39">
      <c r="A36" s="681"/>
      <c r="B36" s="647" t="s">
        <v>812</v>
      </c>
      <c r="C36" s="678" t="s">
        <v>813</v>
      </c>
      <c r="D36" s="678" t="s">
        <v>814</v>
      </c>
      <c r="E36" s="638" t="s">
        <v>476</v>
      </c>
      <c r="F36" s="647">
        <v>1</v>
      </c>
      <c r="G36" s="652">
        <v>1</v>
      </c>
      <c r="H36" s="649"/>
      <c r="I36" s="651" t="s">
        <v>815</v>
      </c>
      <c r="J36" s="651" t="s">
        <v>814</v>
      </c>
      <c r="K36" s="652"/>
      <c r="L36" s="652"/>
      <c r="M36" s="673"/>
      <c r="N36" s="673"/>
      <c r="O36" s="665" t="s">
        <v>816</v>
      </c>
      <c r="P36" s="642"/>
      <c r="Q36" s="643" t="s">
        <v>93</v>
      </c>
      <c r="R36" s="643" t="s">
        <v>739</v>
      </c>
      <c r="S36" s="615" t="s">
        <v>266</v>
      </c>
      <c r="T36" s="615" t="s">
        <v>272</v>
      </c>
      <c r="U36" s="615" t="s">
        <v>266</v>
      </c>
      <c r="V36" s="615" t="s">
        <v>272</v>
      </c>
      <c r="W36" s="615" t="s">
        <v>272</v>
      </c>
      <c r="X36" s="615" t="s">
        <v>272</v>
      </c>
      <c r="Y36" s="615" t="s">
        <v>266</v>
      </c>
      <c r="Z36" s="615" t="s">
        <v>266</v>
      </c>
      <c r="AA36" s="615" t="s">
        <v>272</v>
      </c>
      <c r="AB36" s="615" t="s">
        <v>272</v>
      </c>
      <c r="AC36" s="615" t="s">
        <v>272</v>
      </c>
      <c r="AD36" s="615" t="s">
        <v>272</v>
      </c>
      <c r="AE36" s="615" t="s">
        <v>272</v>
      </c>
      <c r="AF36" s="615" t="s">
        <v>272</v>
      </c>
      <c r="AG36" s="615" t="s">
        <v>272</v>
      </c>
      <c r="AH36" s="615" t="s">
        <v>272</v>
      </c>
      <c r="AI36" s="615" t="s">
        <v>272</v>
      </c>
      <c r="AJ36" s="615" t="s">
        <v>272</v>
      </c>
      <c r="AK36" s="615" t="s">
        <v>272</v>
      </c>
      <c r="AL36" s="615" t="s">
        <v>272</v>
      </c>
      <c r="AM36" s="645"/>
    </row>
    <row r="37" ht="38" customHeight="1" spans="1:39">
      <c r="A37" s="684" t="s">
        <v>817</v>
      </c>
      <c r="B37" s="684"/>
      <c r="C37" s="684"/>
      <c r="D37" s="684"/>
      <c r="E37" s="684"/>
      <c r="F37" s="684"/>
      <c r="G37" s="684"/>
      <c r="H37" s="684"/>
      <c r="I37" s="684"/>
      <c r="J37" s="684"/>
      <c r="K37" s="684"/>
      <c r="L37" s="684"/>
      <c r="M37" s="684"/>
      <c r="N37" s="684"/>
      <c r="O37" s="684"/>
      <c r="P37" s="684"/>
      <c r="Q37" s="684"/>
      <c r="R37" s="684"/>
      <c r="S37" s="684"/>
      <c r="T37" s="684"/>
      <c r="U37" s="684"/>
      <c r="V37" s="684"/>
      <c r="W37" s="684"/>
      <c r="X37" s="684"/>
      <c r="Y37" s="684"/>
      <c r="Z37" s="684"/>
      <c r="AA37" s="684"/>
      <c r="AB37" s="684"/>
      <c r="AC37" s="684"/>
      <c r="AD37" s="684"/>
      <c r="AE37" s="684"/>
      <c r="AF37" s="684"/>
      <c r="AG37" s="684"/>
      <c r="AH37" s="684"/>
      <c r="AI37" s="684"/>
      <c r="AJ37" s="684"/>
      <c r="AK37" s="684"/>
      <c r="AL37" s="684"/>
      <c r="AM37" s="684"/>
    </row>
    <row r="38" s="620" customFormat="1" ht="51" customHeight="1" spans="1:39">
      <c r="A38" s="636" t="s">
        <v>390</v>
      </c>
      <c r="B38" s="637" t="s">
        <v>818</v>
      </c>
      <c r="C38" s="638" t="s">
        <v>819</v>
      </c>
      <c r="D38" s="638" t="s">
        <v>820</v>
      </c>
      <c r="E38" s="639" t="s">
        <v>752</v>
      </c>
      <c r="F38" s="680">
        <v>2</v>
      </c>
      <c r="G38" s="641">
        <v>0</v>
      </c>
      <c r="H38" s="637" t="s">
        <v>720</v>
      </c>
      <c r="I38" s="638" t="s">
        <v>821</v>
      </c>
      <c r="J38" s="638" t="s">
        <v>822</v>
      </c>
      <c r="K38" s="655">
        <v>0</v>
      </c>
      <c r="L38" s="655">
        <v>2</v>
      </c>
      <c r="M38" s="637" t="s">
        <v>470</v>
      </c>
      <c r="N38" s="685" t="s">
        <v>823</v>
      </c>
      <c r="O38" s="685" t="s">
        <v>824</v>
      </c>
      <c r="P38" s="642">
        <v>0</v>
      </c>
      <c r="Q38" s="615" t="s">
        <v>93</v>
      </c>
      <c r="R38" s="643" t="s">
        <v>739</v>
      </c>
      <c r="S38" s="615" t="s">
        <v>272</v>
      </c>
      <c r="T38" s="615" t="s">
        <v>272</v>
      </c>
      <c r="U38" s="615" t="s">
        <v>272</v>
      </c>
      <c r="V38" s="615" t="s">
        <v>272</v>
      </c>
      <c r="W38" s="615" t="s">
        <v>272</v>
      </c>
      <c r="X38" s="615" t="s">
        <v>272</v>
      </c>
      <c r="Y38" s="615" t="s">
        <v>272</v>
      </c>
      <c r="Z38" s="615" t="s">
        <v>272</v>
      </c>
      <c r="AA38" s="615" t="s">
        <v>272</v>
      </c>
      <c r="AB38" s="615" t="s">
        <v>272</v>
      </c>
      <c r="AC38" s="615" t="s">
        <v>272</v>
      </c>
      <c r="AD38" s="615" t="s">
        <v>266</v>
      </c>
      <c r="AE38" s="615" t="s">
        <v>272</v>
      </c>
      <c r="AF38" s="615" t="s">
        <v>272</v>
      </c>
      <c r="AG38" s="615" t="s">
        <v>272</v>
      </c>
      <c r="AH38" s="615" t="s">
        <v>272</v>
      </c>
      <c r="AI38" s="615" t="s">
        <v>266</v>
      </c>
      <c r="AJ38" s="615" t="s">
        <v>272</v>
      </c>
      <c r="AK38" s="615" t="s">
        <v>266</v>
      </c>
      <c r="AL38" s="615" t="s">
        <v>266</v>
      </c>
      <c r="AM38" s="645"/>
    </row>
    <row r="39" s="620" customFormat="1" ht="130.5" customHeight="1" spans="1:39">
      <c r="A39" s="636" t="s">
        <v>392</v>
      </c>
      <c r="B39" s="637"/>
      <c r="C39" s="638"/>
      <c r="D39" s="638"/>
      <c r="E39" s="639"/>
      <c r="F39" s="680"/>
      <c r="G39" s="641">
        <v>1</v>
      </c>
      <c r="H39" s="637" t="s">
        <v>720</v>
      </c>
      <c r="I39" s="638" t="s">
        <v>825</v>
      </c>
      <c r="J39" s="638" t="s">
        <v>826</v>
      </c>
      <c r="K39" s="655">
        <v>0</v>
      </c>
      <c r="L39" s="655">
        <v>4</v>
      </c>
      <c r="M39" s="637" t="s">
        <v>470</v>
      </c>
      <c r="N39" s="642" t="s">
        <v>827</v>
      </c>
      <c r="O39" s="642" t="s">
        <v>827</v>
      </c>
      <c r="P39" s="642">
        <v>0</v>
      </c>
      <c r="Q39" s="615"/>
      <c r="R39" s="643"/>
      <c r="S39" s="615"/>
      <c r="T39" s="615"/>
      <c r="U39" s="615"/>
      <c r="V39" s="615"/>
      <c r="W39" s="615"/>
      <c r="X39" s="615"/>
      <c r="Y39" s="615"/>
      <c r="Z39" s="615"/>
      <c r="AA39" s="615"/>
      <c r="AB39" s="615"/>
      <c r="AC39" s="615"/>
      <c r="AD39" s="615"/>
      <c r="AE39" s="615"/>
      <c r="AF39" s="615"/>
      <c r="AG39" s="615"/>
      <c r="AH39" s="615"/>
      <c r="AI39" s="615"/>
      <c r="AJ39" s="615"/>
      <c r="AK39" s="615"/>
      <c r="AL39" s="615"/>
      <c r="AM39" s="645"/>
    </row>
    <row r="40" s="620" customFormat="1" ht="26" spans="1:39">
      <c r="A40" s="636" t="s">
        <v>394</v>
      </c>
      <c r="B40" s="637" t="s">
        <v>828</v>
      </c>
      <c r="C40" s="638" t="s">
        <v>829</v>
      </c>
      <c r="D40" s="638" t="s">
        <v>830</v>
      </c>
      <c r="E40" s="639" t="s">
        <v>752</v>
      </c>
      <c r="F40" s="640">
        <v>1</v>
      </c>
      <c r="G40" s="641">
        <v>0</v>
      </c>
      <c r="H40" s="637" t="s">
        <v>720</v>
      </c>
      <c r="I40" s="638" t="s">
        <v>831</v>
      </c>
      <c r="J40" s="638" t="s">
        <v>832</v>
      </c>
      <c r="K40" s="655">
        <v>0</v>
      </c>
      <c r="L40" s="655" t="s">
        <v>833</v>
      </c>
      <c r="M40" s="637" t="s">
        <v>470</v>
      </c>
      <c r="N40" s="642" t="s">
        <v>834</v>
      </c>
      <c r="O40" s="642" t="s">
        <v>834</v>
      </c>
      <c r="P40" s="642"/>
      <c r="Q40" s="615" t="s">
        <v>93</v>
      </c>
      <c r="R40" s="643" t="s">
        <v>739</v>
      </c>
      <c r="S40" s="615" t="s">
        <v>272</v>
      </c>
      <c r="T40" s="615" t="s">
        <v>272</v>
      </c>
      <c r="U40" s="615" t="s">
        <v>272</v>
      </c>
      <c r="V40" s="615" t="s">
        <v>272</v>
      </c>
      <c r="W40" s="615" t="s">
        <v>272</v>
      </c>
      <c r="X40" s="615" t="s">
        <v>272</v>
      </c>
      <c r="Y40" s="615" t="s">
        <v>272</v>
      </c>
      <c r="Z40" s="615" t="s">
        <v>272</v>
      </c>
      <c r="AA40" s="615" t="s">
        <v>272</v>
      </c>
      <c r="AB40" s="615" t="s">
        <v>272</v>
      </c>
      <c r="AC40" s="615" t="s">
        <v>272</v>
      </c>
      <c r="AD40" s="615" t="s">
        <v>266</v>
      </c>
      <c r="AE40" s="615" t="s">
        <v>272</v>
      </c>
      <c r="AF40" s="615" t="s">
        <v>272</v>
      </c>
      <c r="AG40" s="615" t="s">
        <v>272</v>
      </c>
      <c r="AH40" s="615" t="s">
        <v>272</v>
      </c>
      <c r="AI40" s="615" t="s">
        <v>266</v>
      </c>
      <c r="AJ40" s="615" t="s">
        <v>272</v>
      </c>
      <c r="AK40" s="615" t="s">
        <v>266</v>
      </c>
      <c r="AL40" s="615" t="s">
        <v>266</v>
      </c>
      <c r="AM40" s="645"/>
    </row>
    <row r="41" s="620" customFormat="1" ht="26" spans="1:39">
      <c r="A41" s="636" t="s">
        <v>789</v>
      </c>
      <c r="B41" s="637" t="s">
        <v>835</v>
      </c>
      <c r="C41" s="685" t="s">
        <v>836</v>
      </c>
      <c r="D41" s="685" t="s">
        <v>837</v>
      </c>
      <c r="E41" s="639" t="s">
        <v>476</v>
      </c>
      <c r="F41" s="640">
        <v>1</v>
      </c>
      <c r="G41" s="641">
        <v>0</v>
      </c>
      <c r="H41" s="637" t="s">
        <v>720</v>
      </c>
      <c r="I41" s="685" t="s">
        <v>836</v>
      </c>
      <c r="J41" s="685" t="s">
        <v>837</v>
      </c>
      <c r="K41" s="655">
        <v>-40</v>
      </c>
      <c r="L41" s="655">
        <v>215</v>
      </c>
      <c r="M41" s="637" t="s">
        <v>838</v>
      </c>
      <c r="N41" s="642" t="s">
        <v>839</v>
      </c>
      <c r="O41" s="642"/>
      <c r="P41" s="642"/>
      <c r="Q41" s="615" t="s">
        <v>93</v>
      </c>
      <c r="R41" s="643" t="s">
        <v>739</v>
      </c>
      <c r="S41" s="615" t="s">
        <v>266</v>
      </c>
      <c r="T41" s="615" t="s">
        <v>272</v>
      </c>
      <c r="U41" s="615" t="s">
        <v>266</v>
      </c>
      <c r="V41" s="615" t="s">
        <v>272</v>
      </c>
      <c r="W41" s="615" t="s">
        <v>272</v>
      </c>
      <c r="X41" s="615" t="s">
        <v>272</v>
      </c>
      <c r="Y41" s="615" t="s">
        <v>266</v>
      </c>
      <c r="Z41" s="615" t="s">
        <v>266</v>
      </c>
      <c r="AA41" s="615" t="s">
        <v>272</v>
      </c>
      <c r="AB41" s="615" t="s">
        <v>272</v>
      </c>
      <c r="AC41" s="615" t="s">
        <v>272</v>
      </c>
      <c r="AD41" s="615" t="s">
        <v>272</v>
      </c>
      <c r="AE41" s="615" t="s">
        <v>272</v>
      </c>
      <c r="AF41" s="615" t="s">
        <v>272</v>
      </c>
      <c r="AG41" s="615" t="s">
        <v>272</v>
      </c>
      <c r="AH41" s="615" t="s">
        <v>272</v>
      </c>
      <c r="AI41" s="615" t="s">
        <v>272</v>
      </c>
      <c r="AJ41" s="615" t="s">
        <v>272</v>
      </c>
      <c r="AK41" s="615" t="s">
        <v>266</v>
      </c>
      <c r="AL41" s="615" t="s">
        <v>266</v>
      </c>
      <c r="AM41" s="645"/>
    </row>
    <row r="42" s="620" customFormat="1" ht="26" spans="1:39">
      <c r="A42" s="636" t="s">
        <v>840</v>
      </c>
      <c r="B42" s="637" t="s">
        <v>841</v>
      </c>
      <c r="C42" s="638" t="s">
        <v>842</v>
      </c>
      <c r="D42" s="638" t="s">
        <v>843</v>
      </c>
      <c r="E42" s="639" t="s">
        <v>476</v>
      </c>
      <c r="F42" s="640">
        <v>1</v>
      </c>
      <c r="G42" s="641">
        <v>0</v>
      </c>
      <c r="H42" s="637" t="s">
        <v>720</v>
      </c>
      <c r="I42" s="638" t="s">
        <v>831</v>
      </c>
      <c r="J42" s="638" t="s">
        <v>844</v>
      </c>
      <c r="K42" s="655">
        <v>0</v>
      </c>
      <c r="L42" s="655">
        <v>1</v>
      </c>
      <c r="M42" s="637" t="s">
        <v>470</v>
      </c>
      <c r="N42" s="642" t="s">
        <v>845</v>
      </c>
      <c r="O42" s="642" t="s">
        <v>846</v>
      </c>
      <c r="P42" s="642">
        <v>0</v>
      </c>
      <c r="Q42" s="615" t="s">
        <v>93</v>
      </c>
      <c r="R42" s="643" t="s">
        <v>520</v>
      </c>
      <c r="S42" s="615" t="s">
        <v>266</v>
      </c>
      <c r="T42" s="615" t="s">
        <v>272</v>
      </c>
      <c r="U42" s="615" t="s">
        <v>266</v>
      </c>
      <c r="V42" s="615" t="s">
        <v>272</v>
      </c>
      <c r="W42" s="615" t="s">
        <v>272</v>
      </c>
      <c r="X42" s="615" t="s">
        <v>272</v>
      </c>
      <c r="Y42" s="615" t="s">
        <v>266</v>
      </c>
      <c r="Z42" s="615" t="s">
        <v>266</v>
      </c>
      <c r="AA42" s="615" t="s">
        <v>272</v>
      </c>
      <c r="AB42" s="615" t="s">
        <v>272</v>
      </c>
      <c r="AC42" s="615" t="s">
        <v>272</v>
      </c>
      <c r="AD42" s="615" t="s">
        <v>272</v>
      </c>
      <c r="AE42" s="615" t="s">
        <v>272</v>
      </c>
      <c r="AF42" s="615" t="s">
        <v>272</v>
      </c>
      <c r="AG42" s="615" t="s">
        <v>272</v>
      </c>
      <c r="AH42" s="615" t="s">
        <v>272</v>
      </c>
      <c r="AI42" s="615" t="s">
        <v>272</v>
      </c>
      <c r="AJ42" s="615" t="s">
        <v>272</v>
      </c>
      <c r="AK42" s="615" t="s">
        <v>266</v>
      </c>
      <c r="AL42" s="615" t="s">
        <v>266</v>
      </c>
      <c r="AM42" s="645"/>
    </row>
    <row r="43" s="620" customFormat="1" ht="104" spans="1:39">
      <c r="A43" s="677" t="s">
        <v>847</v>
      </c>
      <c r="B43" s="637" t="s">
        <v>848</v>
      </c>
      <c r="C43" s="648" t="s">
        <v>849</v>
      </c>
      <c r="D43" s="648" t="s">
        <v>850</v>
      </c>
      <c r="E43" s="686" t="s">
        <v>752</v>
      </c>
      <c r="F43" s="680">
        <v>2</v>
      </c>
      <c r="G43" s="641">
        <v>0</v>
      </c>
      <c r="H43" s="637" t="s">
        <v>720</v>
      </c>
      <c r="I43" s="638" t="s">
        <v>851</v>
      </c>
      <c r="J43" s="638" t="s">
        <v>852</v>
      </c>
      <c r="K43" s="655"/>
      <c r="L43" s="655"/>
      <c r="M43" s="637"/>
      <c r="N43" s="642" t="s">
        <v>853</v>
      </c>
      <c r="O43" s="642"/>
      <c r="P43" s="642"/>
      <c r="Q43" s="615" t="s">
        <v>93</v>
      </c>
      <c r="R43" s="643" t="s">
        <v>739</v>
      </c>
      <c r="S43" s="615" t="s">
        <v>266</v>
      </c>
      <c r="T43" s="615" t="s">
        <v>272</v>
      </c>
      <c r="U43" s="615" t="s">
        <v>266</v>
      </c>
      <c r="V43" s="615" t="s">
        <v>272</v>
      </c>
      <c r="W43" s="615" t="s">
        <v>272</v>
      </c>
      <c r="X43" s="615" t="s">
        <v>272</v>
      </c>
      <c r="Y43" s="615" t="s">
        <v>266</v>
      </c>
      <c r="Z43" s="615" t="s">
        <v>266</v>
      </c>
      <c r="AA43" s="615" t="s">
        <v>272</v>
      </c>
      <c r="AB43" s="615" t="s">
        <v>272</v>
      </c>
      <c r="AC43" s="615" t="s">
        <v>272</v>
      </c>
      <c r="AD43" s="615" t="s">
        <v>272</v>
      </c>
      <c r="AE43" s="615" t="s">
        <v>272</v>
      </c>
      <c r="AF43" s="615" t="s">
        <v>272</v>
      </c>
      <c r="AG43" s="615" t="s">
        <v>272</v>
      </c>
      <c r="AH43" s="615" t="s">
        <v>272</v>
      </c>
      <c r="AI43" s="615" t="s">
        <v>272</v>
      </c>
      <c r="AJ43" s="615" t="s">
        <v>272</v>
      </c>
      <c r="AK43" s="615" t="s">
        <v>266</v>
      </c>
      <c r="AL43" s="615" t="s">
        <v>266</v>
      </c>
      <c r="AM43" s="645"/>
    </row>
    <row r="44" s="620" customFormat="1" ht="117" spans="1:39">
      <c r="A44" s="677"/>
      <c r="B44" s="637"/>
      <c r="C44" s="648"/>
      <c r="D44" s="648"/>
      <c r="E44" s="686"/>
      <c r="F44" s="680"/>
      <c r="G44" s="641">
        <v>1</v>
      </c>
      <c r="H44" s="637" t="s">
        <v>720</v>
      </c>
      <c r="I44" s="638" t="s">
        <v>825</v>
      </c>
      <c r="J44" s="638" t="s">
        <v>826</v>
      </c>
      <c r="K44" s="655"/>
      <c r="L44" s="655"/>
      <c r="M44" s="637"/>
      <c r="N44" s="642" t="s">
        <v>827</v>
      </c>
      <c r="O44" s="642"/>
      <c r="P44" s="642"/>
      <c r="Q44" s="615" t="s">
        <v>93</v>
      </c>
      <c r="R44" s="643" t="s">
        <v>739</v>
      </c>
      <c r="S44" s="615" t="s">
        <v>266</v>
      </c>
      <c r="T44" s="615" t="s">
        <v>272</v>
      </c>
      <c r="U44" s="615" t="s">
        <v>266</v>
      </c>
      <c r="V44" s="615" t="s">
        <v>272</v>
      </c>
      <c r="W44" s="615" t="s">
        <v>272</v>
      </c>
      <c r="X44" s="615" t="s">
        <v>272</v>
      </c>
      <c r="Y44" s="615" t="s">
        <v>266</v>
      </c>
      <c r="Z44" s="615" t="s">
        <v>266</v>
      </c>
      <c r="AA44" s="615" t="s">
        <v>272</v>
      </c>
      <c r="AB44" s="615" t="s">
        <v>272</v>
      </c>
      <c r="AC44" s="615" t="s">
        <v>272</v>
      </c>
      <c r="AD44" s="615" t="s">
        <v>272</v>
      </c>
      <c r="AE44" s="615" t="s">
        <v>272</v>
      </c>
      <c r="AF44" s="615" t="s">
        <v>272</v>
      </c>
      <c r="AG44" s="615" t="s">
        <v>272</v>
      </c>
      <c r="AH44" s="615" t="s">
        <v>272</v>
      </c>
      <c r="AI44" s="615" t="s">
        <v>272</v>
      </c>
      <c r="AJ44" s="615" t="s">
        <v>272</v>
      </c>
      <c r="AK44" s="615" t="s">
        <v>266</v>
      </c>
      <c r="AL44" s="615" t="s">
        <v>266</v>
      </c>
      <c r="AM44" s="645"/>
    </row>
    <row r="45" ht="34" customHeight="1" spans="1:39">
      <c r="A45" s="687" t="s">
        <v>854</v>
      </c>
      <c r="B45" s="688"/>
      <c r="C45" s="688"/>
      <c r="D45" s="688"/>
      <c r="E45" s="688"/>
      <c r="F45" s="688"/>
      <c r="G45" s="688"/>
      <c r="H45" s="688"/>
      <c r="I45" s="688"/>
      <c r="J45" s="688"/>
      <c r="K45" s="688"/>
      <c r="L45" s="688"/>
      <c r="M45" s="688"/>
      <c r="N45" s="688"/>
      <c r="O45" s="688"/>
      <c r="P45" s="688"/>
      <c r="Q45" s="688"/>
      <c r="R45" s="688"/>
      <c r="S45" s="688"/>
      <c r="T45" s="688"/>
      <c r="U45" s="688"/>
      <c r="V45" s="688"/>
      <c r="W45" s="688"/>
      <c r="X45" s="688"/>
      <c r="Y45" s="688"/>
      <c r="Z45" s="688"/>
      <c r="AA45" s="688"/>
      <c r="AB45" s="688"/>
      <c r="AC45" s="688"/>
      <c r="AD45" s="688"/>
      <c r="AE45" s="688"/>
      <c r="AF45" s="688"/>
      <c r="AG45" s="688"/>
      <c r="AH45" s="688"/>
      <c r="AI45" s="688"/>
      <c r="AJ45" s="688"/>
      <c r="AK45" s="688"/>
      <c r="AL45" s="688"/>
      <c r="AM45" s="689"/>
    </row>
  </sheetData>
  <sheetProtection selectLockedCells="1" formatCells="0" formatColumns="0" formatRows="0" insertRows="0" insertColumns="0" insertHyperlinks="0" deleteColumns="0" deleteRows="0" sort="0" autoFilter="0" pivotTables="0"/>
  <mergeCells count="82">
    <mergeCell ref="S4:AA4"/>
    <mergeCell ref="AB4:AJ4"/>
    <mergeCell ref="S5:U5"/>
    <mergeCell ref="V5:X5"/>
    <mergeCell ref="Y5:AA5"/>
    <mergeCell ref="AB5:AD5"/>
    <mergeCell ref="AE5:AG5"/>
    <mergeCell ref="AH5:AJ5"/>
    <mergeCell ref="A37:AM37"/>
    <mergeCell ref="A45:AM45"/>
    <mergeCell ref="A4:A6"/>
    <mergeCell ref="A10:A20"/>
    <mergeCell ref="A21:A25"/>
    <mergeCell ref="A29:A34"/>
    <mergeCell ref="A43:A44"/>
    <mergeCell ref="B4:B6"/>
    <mergeCell ref="B10:B20"/>
    <mergeCell ref="B21:B25"/>
    <mergeCell ref="B29:B34"/>
    <mergeCell ref="B38:B39"/>
    <mergeCell ref="B43:B44"/>
    <mergeCell ref="C4:C6"/>
    <mergeCell ref="C10:C20"/>
    <mergeCell ref="C21:C25"/>
    <mergeCell ref="C29:C34"/>
    <mergeCell ref="C38:C39"/>
    <mergeCell ref="C43:C44"/>
    <mergeCell ref="D4:D6"/>
    <mergeCell ref="D10:D20"/>
    <mergeCell ref="D21:D25"/>
    <mergeCell ref="D29:D34"/>
    <mergeCell ref="D38:D39"/>
    <mergeCell ref="D43:D44"/>
    <mergeCell ref="E4:E6"/>
    <mergeCell ref="E10:E20"/>
    <mergeCell ref="E29:E34"/>
    <mergeCell ref="E38:E39"/>
    <mergeCell ref="E43:E44"/>
    <mergeCell ref="F4:F6"/>
    <mergeCell ref="F10:F20"/>
    <mergeCell ref="F21:F25"/>
    <mergeCell ref="F29:F34"/>
    <mergeCell ref="F38:F39"/>
    <mergeCell ref="F43:F44"/>
    <mergeCell ref="G4:G6"/>
    <mergeCell ref="H4:H6"/>
    <mergeCell ref="I4:I6"/>
    <mergeCell ref="J4:J6"/>
    <mergeCell ref="K4:K6"/>
    <mergeCell ref="L4:L6"/>
    <mergeCell ref="M4:M6"/>
    <mergeCell ref="N4:N6"/>
    <mergeCell ref="O4:O6"/>
    <mergeCell ref="P4:P6"/>
    <mergeCell ref="Q4:Q6"/>
    <mergeCell ref="Q38:Q39"/>
    <mergeCell ref="R4:R6"/>
    <mergeCell ref="R38:R39"/>
    <mergeCell ref="S38:S39"/>
    <mergeCell ref="T38:T39"/>
    <mergeCell ref="U38:U39"/>
    <mergeCell ref="V38:V39"/>
    <mergeCell ref="W38:W39"/>
    <mergeCell ref="X38:X39"/>
    <mergeCell ref="Y38:Y39"/>
    <mergeCell ref="Z38:Z39"/>
    <mergeCell ref="AA38:AA39"/>
    <mergeCell ref="AB38:AB39"/>
    <mergeCell ref="AC38:AC39"/>
    <mergeCell ref="AD38:AD39"/>
    <mergeCell ref="AE38:AE39"/>
    <mergeCell ref="AF38:AF39"/>
    <mergeCell ref="AG38:AG39"/>
    <mergeCell ref="AH38:AH39"/>
    <mergeCell ref="AI38:AI39"/>
    <mergeCell ref="AJ38:AJ39"/>
    <mergeCell ref="AK4:AK6"/>
    <mergeCell ref="AK38:AK39"/>
    <mergeCell ref="AL4:AL6"/>
    <mergeCell ref="AL38:AL39"/>
    <mergeCell ref="AM4:AM6"/>
    <mergeCell ref="A1:F3"/>
  </mergeCells>
  <conditionalFormatting sqref="G4:R4">
    <cfRule type="cellIs" dxfId="5" priority="4" stopIfTrue="1" operator="equal">
      <formula>"tbd"</formula>
    </cfRule>
  </conditionalFormatting>
  <dataValidations count="7">
    <dataValidation type="list" allowBlank="1" showInputMessage="1" showErrorMessage="1" sqref="E10 E1:E6 E21:E29 E38:E44 E46:E1048576">
      <formula1>"W,R,R/W,N/A"</formula1>
    </dataValidation>
    <dataValidation type="list" allowBlank="1" showInputMessage="1" showErrorMessage="1" sqref="L20 L38:L44 L46:L53 M4:M6">
      <formula1>[2]Predefined!#REF!</formula1>
    </dataValidation>
    <dataValidation type="list" allowBlank="1" showInputMessage="1" showErrorMessage="1" sqref="M20 M46:M1048576">
      <formula1>$C$2:$C$77</formula1>
    </dataValidation>
    <dataValidation type="list" allowBlank="1" showInputMessage="1" showErrorMessage="1" sqref="Q38 Q7:Q36 Q40:Q44 Q46:Q1048576">
      <formula1>"ASCII,Unsigned,Signed,Texttable,Bytefield,Float,Reserved"</formula1>
    </dataValidation>
    <dataValidation type="list" allowBlank="1" showInputMessage="1" showErrorMessage="1" sqref="R38 R7:R36 R40:R44 R46:R1048576">
      <formula1>"Flash,EEPROM,RAM,TBD"</formula1>
    </dataValidation>
    <dataValidation type="list" allowBlank="1" showInputMessage="1" showErrorMessage="1" sqref="S38:AL38 S7:AL36 S40:AL44 S46:AL1048576">
      <formula1>"Y,N"</formula1>
    </dataValidation>
    <dataValidation type="list" allowBlank="1" showInputMessage="1" showErrorMessage="1" sqref="E7:E9 E11:E20">
      <formula1>"W,R,R/W"</formula1>
    </dataValidation>
  </dataValidations>
  <pageMargins left="0.699305555555556" right="0.699305555555556" top="0.75" bottom="0.75" header="0.3" footer="0.3"/>
  <pageSetup paperSize="9" scale="29" orientation="portrait"/>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18"/>
  <sheetViews>
    <sheetView zoomScale="87" zoomScaleNormal="87" zoomScaleSheetLayoutView="85" workbookViewId="0">
      <selection activeCell="N13" sqref="N13"/>
    </sheetView>
  </sheetViews>
  <sheetFormatPr defaultColWidth="9" defaultRowHeight="13"/>
  <cols>
    <col min="1" max="1" width="6.09090909090909" style="589" customWidth="1"/>
    <col min="2" max="2" width="11.6363636363636" style="589" customWidth="1"/>
    <col min="3" max="3" width="32.3636363636364" style="589" customWidth="1"/>
    <col min="4" max="4" width="30.3636363636364" style="589" customWidth="1"/>
    <col min="5" max="5" width="10.0909090909091" style="589" customWidth="1"/>
    <col min="6" max="6" width="7.45454545454545" style="589" customWidth="1"/>
    <col min="7" max="7" width="5.63636363636364" style="589" customWidth="1"/>
    <col min="8" max="8" width="4.90909090909091" style="589" customWidth="1"/>
    <col min="9" max="9" width="22.7272727272727" style="589" customWidth="1"/>
    <col min="10" max="10" width="22.0909090909091" style="589" customWidth="1"/>
    <col min="11" max="12" width="15.0909090909091" style="589" customWidth="1"/>
    <col min="13" max="13" width="12.0909090909091" style="589" customWidth="1"/>
    <col min="14" max="14" width="32.0909090909091" style="589" customWidth="1"/>
    <col min="15" max="15" width="25.3636363636364" style="589" customWidth="1"/>
    <col min="16" max="16" width="13.0909090909091" style="589" customWidth="1"/>
    <col min="17" max="17" width="10.7272727272727" style="589" customWidth="1"/>
    <col min="18" max="18" width="10.0909090909091" style="589" customWidth="1"/>
    <col min="19" max="24" width="8.45454545454546" style="589" customWidth="1"/>
    <col min="25" max="26" width="7" style="589" customWidth="1"/>
    <col min="27" max="27" width="8.72727272727273" style="589" customWidth="1"/>
    <col min="28" max="33" width="8.45454545454546" style="589" customWidth="1"/>
    <col min="34" max="35" width="7" style="589" customWidth="1"/>
    <col min="36" max="36" width="8.72727272727273" style="589" customWidth="1"/>
    <col min="37" max="37" width="7.09090909090909" style="589" customWidth="1"/>
    <col min="38" max="38" width="9.45454545454546" style="589" customWidth="1"/>
    <col min="39" max="39" width="10.4545454545455" style="589" customWidth="1"/>
    <col min="40" max="16384" width="9" style="589"/>
  </cols>
  <sheetData>
    <row r="1" ht="14.15" customHeight="1" spans="1:39">
      <c r="A1" s="590" t="s">
        <v>855</v>
      </c>
      <c r="B1" s="590"/>
      <c r="C1" s="590"/>
      <c r="D1" s="590"/>
      <c r="E1" s="590"/>
      <c r="S1" s="591"/>
      <c r="T1" s="591"/>
      <c r="U1" s="591"/>
      <c r="V1" s="591"/>
      <c r="W1" s="591"/>
      <c r="X1" s="591"/>
      <c r="Y1" s="591"/>
      <c r="Z1" s="591"/>
      <c r="AA1" s="591"/>
      <c r="AB1" s="591"/>
      <c r="AC1" s="591"/>
      <c r="AD1" s="591"/>
      <c r="AE1" s="591"/>
      <c r="AF1" s="591"/>
      <c r="AG1" s="591"/>
      <c r="AH1" s="591"/>
      <c r="AI1" s="591"/>
      <c r="AJ1" s="591"/>
      <c r="AK1" s="591"/>
      <c r="AL1" s="591"/>
    </row>
    <row r="2" spans="1:39">
      <c r="A2" s="590"/>
      <c r="B2" s="590"/>
      <c r="C2" s="590"/>
      <c r="D2" s="590"/>
      <c r="E2" s="590"/>
      <c r="S2" s="591"/>
      <c r="T2" s="591"/>
      <c r="U2" s="591"/>
      <c r="V2" s="591"/>
      <c r="W2" s="591"/>
      <c r="X2" s="591"/>
      <c r="Y2" s="591"/>
      <c r="Z2" s="591"/>
      <c r="AA2" s="591"/>
      <c r="AB2" s="591"/>
      <c r="AC2" s="591"/>
      <c r="AD2" s="591"/>
      <c r="AE2" s="591"/>
      <c r="AF2" s="591"/>
      <c r="AG2" s="591"/>
      <c r="AH2" s="591"/>
      <c r="AI2" s="591"/>
      <c r="AJ2" s="591"/>
      <c r="AK2" s="591"/>
      <c r="AL2" s="591"/>
    </row>
    <row r="3" s="585" customFormat="1" ht="38.15" customHeight="1" spans="1:39">
      <c r="A3" s="592"/>
      <c r="B3" s="592"/>
      <c r="C3" s="592"/>
      <c r="D3" s="592"/>
      <c r="E3" s="592"/>
      <c r="F3" s="591"/>
      <c r="G3" s="591"/>
      <c r="H3" s="591"/>
      <c r="I3" s="591"/>
      <c r="J3" s="591"/>
      <c r="K3" s="591"/>
      <c r="L3" s="591"/>
      <c r="M3" s="591"/>
      <c r="N3" s="591"/>
      <c r="O3" s="591"/>
      <c r="P3" s="591"/>
      <c r="Q3" s="591"/>
      <c r="R3" s="591"/>
      <c r="S3" s="591"/>
      <c r="T3" s="591"/>
      <c r="U3" s="591"/>
      <c r="V3" s="591"/>
      <c r="W3" s="591"/>
      <c r="X3" s="591"/>
      <c r="Y3" s="591"/>
      <c r="Z3" s="591"/>
      <c r="AA3" s="591"/>
      <c r="AB3" s="591"/>
      <c r="AC3" s="591"/>
      <c r="AD3" s="591"/>
      <c r="AE3" s="591"/>
      <c r="AF3" s="591"/>
      <c r="AG3" s="591"/>
      <c r="AH3" s="591"/>
      <c r="AI3" s="591"/>
      <c r="AJ3" s="591"/>
      <c r="AK3" s="591"/>
      <c r="AL3" s="591"/>
      <c r="AM3" s="591"/>
    </row>
    <row r="4" s="586" customFormat="1" ht="31.4" customHeight="1" spans="1:39">
      <c r="A4" s="396" t="s">
        <v>437</v>
      </c>
      <c r="B4" s="396" t="s">
        <v>438</v>
      </c>
      <c r="C4" s="396" t="s">
        <v>439</v>
      </c>
      <c r="D4" s="398" t="s">
        <v>440</v>
      </c>
      <c r="E4" s="396" t="s">
        <v>441</v>
      </c>
      <c r="F4" s="396" t="s">
        <v>442</v>
      </c>
      <c r="G4" s="593" t="s">
        <v>443</v>
      </c>
      <c r="H4" s="593" t="s">
        <v>444</v>
      </c>
      <c r="I4" s="593" t="s">
        <v>445</v>
      </c>
      <c r="J4" s="594" t="s">
        <v>446</v>
      </c>
      <c r="K4" s="554" t="s">
        <v>447</v>
      </c>
      <c r="L4" s="554" t="s">
        <v>448</v>
      </c>
      <c r="M4" s="554" t="s">
        <v>449</v>
      </c>
      <c r="N4" s="554" t="s">
        <v>450</v>
      </c>
      <c r="O4" s="595" t="s">
        <v>451</v>
      </c>
      <c r="P4" s="554" t="s">
        <v>452</v>
      </c>
      <c r="Q4" s="593" t="s">
        <v>453</v>
      </c>
      <c r="R4" s="395" t="s">
        <v>454</v>
      </c>
      <c r="S4" s="596" t="s">
        <v>455</v>
      </c>
      <c r="T4" s="597"/>
      <c r="U4" s="597"/>
      <c r="V4" s="597"/>
      <c r="W4" s="597"/>
      <c r="X4" s="597"/>
      <c r="Y4" s="597"/>
      <c r="Z4" s="597"/>
      <c r="AA4" s="597"/>
      <c r="AB4" s="596" t="s">
        <v>456</v>
      </c>
      <c r="AC4" s="597"/>
      <c r="AD4" s="597"/>
      <c r="AE4" s="597"/>
      <c r="AF4" s="597"/>
      <c r="AG4" s="597"/>
      <c r="AH4" s="597"/>
      <c r="AI4" s="597"/>
      <c r="AJ4" s="597"/>
      <c r="AK4" s="401" t="s">
        <v>457</v>
      </c>
      <c r="AL4" s="401" t="s">
        <v>458</v>
      </c>
      <c r="AM4" s="396" t="s">
        <v>459</v>
      </c>
    </row>
    <row r="5" s="586" customFormat="1" ht="28.4" customHeight="1" spans="1:39">
      <c r="A5" s="396"/>
      <c r="B5" s="396"/>
      <c r="C5" s="396"/>
      <c r="D5" s="398"/>
      <c r="E5" s="396"/>
      <c r="F5" s="396"/>
      <c r="G5" s="593"/>
      <c r="H5" s="593"/>
      <c r="I5" s="593"/>
      <c r="J5" s="598"/>
      <c r="K5" s="554"/>
      <c r="L5" s="554"/>
      <c r="M5" s="554"/>
      <c r="N5" s="554"/>
      <c r="O5" s="599"/>
      <c r="P5" s="554"/>
      <c r="Q5" s="593"/>
      <c r="R5" s="395"/>
      <c r="S5" s="400" t="s">
        <v>460</v>
      </c>
      <c r="T5" s="400"/>
      <c r="U5" s="400"/>
      <c r="V5" s="400" t="s">
        <v>461</v>
      </c>
      <c r="W5" s="400"/>
      <c r="X5" s="400"/>
      <c r="Y5" s="400" t="s">
        <v>462</v>
      </c>
      <c r="Z5" s="400"/>
      <c r="AA5" s="400"/>
      <c r="AB5" s="400" t="s">
        <v>460</v>
      </c>
      <c r="AC5" s="400"/>
      <c r="AD5" s="400"/>
      <c r="AE5" s="400" t="s">
        <v>461</v>
      </c>
      <c r="AF5" s="400"/>
      <c r="AG5" s="400"/>
      <c r="AH5" s="400" t="s">
        <v>462</v>
      </c>
      <c r="AI5" s="400"/>
      <c r="AJ5" s="400"/>
      <c r="AK5" s="401"/>
      <c r="AL5" s="401"/>
      <c r="AM5" s="396"/>
    </row>
    <row r="6" s="587" customFormat="1" ht="29.5" customHeight="1" spans="1:39">
      <c r="A6" s="396"/>
      <c r="B6" s="396"/>
      <c r="C6" s="396"/>
      <c r="D6" s="398"/>
      <c r="E6" s="396"/>
      <c r="F6" s="396"/>
      <c r="G6" s="593"/>
      <c r="H6" s="593"/>
      <c r="I6" s="593"/>
      <c r="J6" s="600"/>
      <c r="K6" s="554"/>
      <c r="L6" s="554"/>
      <c r="M6" s="554"/>
      <c r="N6" s="554"/>
      <c r="O6" s="601"/>
      <c r="P6" s="554"/>
      <c r="Q6" s="593"/>
      <c r="R6" s="395"/>
      <c r="S6" s="404" t="s">
        <v>257</v>
      </c>
      <c r="T6" s="404" t="s">
        <v>398</v>
      </c>
      <c r="U6" s="404" t="s">
        <v>258</v>
      </c>
      <c r="V6" s="404" t="s">
        <v>257</v>
      </c>
      <c r="W6" s="404" t="s">
        <v>398</v>
      </c>
      <c r="X6" s="404" t="s">
        <v>258</v>
      </c>
      <c r="Y6" s="404" t="s">
        <v>463</v>
      </c>
      <c r="Z6" s="404" t="s">
        <v>260</v>
      </c>
      <c r="AA6" s="404" t="s">
        <v>399</v>
      </c>
      <c r="AB6" s="404" t="s">
        <v>257</v>
      </c>
      <c r="AC6" s="404" t="s">
        <v>398</v>
      </c>
      <c r="AD6" s="404" t="s">
        <v>258</v>
      </c>
      <c r="AE6" s="404" t="s">
        <v>257</v>
      </c>
      <c r="AF6" s="404" t="s">
        <v>398</v>
      </c>
      <c r="AG6" s="404" t="s">
        <v>258</v>
      </c>
      <c r="AH6" s="404" t="s">
        <v>463</v>
      </c>
      <c r="AI6" s="404" t="s">
        <v>260</v>
      </c>
      <c r="AJ6" s="404" t="s">
        <v>399</v>
      </c>
      <c r="AK6" s="401"/>
      <c r="AL6" s="401"/>
      <c r="AM6" s="396"/>
    </row>
    <row r="7" s="587" customFormat="1" ht="30.75" customHeight="1" spans="1:39">
      <c r="A7" s="602" t="s">
        <v>856</v>
      </c>
      <c r="B7" s="602"/>
      <c r="C7" s="602"/>
      <c r="D7" s="602"/>
      <c r="E7" s="602"/>
      <c r="F7" s="602"/>
      <c r="G7" s="602"/>
      <c r="H7" s="602"/>
      <c r="I7" s="602"/>
      <c r="J7" s="602"/>
      <c r="K7" s="602"/>
      <c r="L7" s="602"/>
      <c r="M7" s="602"/>
      <c r="N7" s="602"/>
      <c r="O7" s="602"/>
      <c r="P7" s="602"/>
      <c r="Q7" s="602"/>
      <c r="R7" s="602"/>
      <c r="S7" s="602"/>
      <c r="T7" s="602"/>
      <c r="U7" s="602"/>
      <c r="V7" s="602"/>
      <c r="W7" s="602"/>
      <c r="X7" s="602"/>
      <c r="Y7" s="602"/>
      <c r="Z7" s="602"/>
      <c r="AA7" s="602"/>
      <c r="AB7" s="602"/>
      <c r="AC7" s="602"/>
      <c r="AD7" s="602"/>
      <c r="AE7" s="602"/>
      <c r="AF7" s="602"/>
      <c r="AG7" s="602"/>
      <c r="AH7" s="602"/>
      <c r="AI7" s="602"/>
      <c r="AJ7" s="602"/>
      <c r="AK7" s="602"/>
      <c r="AL7" s="602"/>
      <c r="AM7" s="602"/>
    </row>
    <row r="8" s="588" customFormat="1" ht="92.15" customHeight="1" spans="1:39">
      <c r="A8" s="603">
        <v>1</v>
      </c>
      <c r="B8" s="603" t="s">
        <v>857</v>
      </c>
      <c r="C8" s="603" t="s">
        <v>858</v>
      </c>
      <c r="D8" s="603" t="s">
        <v>859</v>
      </c>
      <c r="E8" s="603" t="s">
        <v>467</v>
      </c>
      <c r="F8" s="603">
        <v>1</v>
      </c>
      <c r="G8" s="604">
        <v>0</v>
      </c>
      <c r="H8" s="605">
        <v>0</v>
      </c>
      <c r="I8" s="605" t="s">
        <v>860</v>
      </c>
      <c r="J8" s="605" t="s">
        <v>861</v>
      </c>
      <c r="K8" s="606" t="s">
        <v>193</v>
      </c>
      <c r="L8" s="606" t="s">
        <v>193</v>
      </c>
      <c r="M8" s="606" t="s">
        <v>470</v>
      </c>
      <c r="N8" s="606" t="s">
        <v>862</v>
      </c>
      <c r="O8" s="606" t="s">
        <v>863</v>
      </c>
      <c r="P8" s="607" t="s">
        <v>193</v>
      </c>
      <c r="Q8" s="607" t="s">
        <v>604</v>
      </c>
      <c r="R8" s="608" t="s">
        <v>520</v>
      </c>
      <c r="S8" s="603" t="s">
        <v>266</v>
      </c>
      <c r="T8" s="609" t="s">
        <v>266</v>
      </c>
      <c r="U8" s="604" t="s">
        <v>266</v>
      </c>
      <c r="V8" s="604" t="s">
        <v>272</v>
      </c>
      <c r="W8" s="604" t="s">
        <v>272</v>
      </c>
      <c r="X8" s="604" t="s">
        <v>272</v>
      </c>
      <c r="Y8" s="603" t="s">
        <v>266</v>
      </c>
      <c r="Z8" s="604" t="s">
        <v>266</v>
      </c>
      <c r="AA8" s="604" t="s">
        <v>266</v>
      </c>
      <c r="AB8" s="604" t="s">
        <v>272</v>
      </c>
      <c r="AC8" s="609" t="s">
        <v>266</v>
      </c>
      <c r="AD8" s="604" t="s">
        <v>266</v>
      </c>
      <c r="AE8" s="604" t="s">
        <v>272</v>
      </c>
      <c r="AF8" s="604" t="s">
        <v>272</v>
      </c>
      <c r="AG8" s="604" t="s">
        <v>272</v>
      </c>
      <c r="AH8" s="604" t="s">
        <v>272</v>
      </c>
      <c r="AI8" s="604" t="s">
        <v>266</v>
      </c>
      <c r="AJ8" s="604" t="s">
        <v>272</v>
      </c>
      <c r="AK8" s="604" t="s">
        <v>266</v>
      </c>
      <c r="AL8" s="604" t="s">
        <v>266</v>
      </c>
      <c r="AM8" s="603"/>
    </row>
    <row r="9" ht="50.5" customHeight="1" spans="1:39">
      <c r="A9" s="603"/>
      <c r="B9" s="603"/>
      <c r="C9" s="603"/>
      <c r="D9" s="603"/>
      <c r="E9" s="603"/>
      <c r="F9" s="603"/>
      <c r="G9" s="610"/>
      <c r="H9" s="605">
        <v>1</v>
      </c>
      <c r="I9" s="605" t="s">
        <v>864</v>
      </c>
      <c r="J9" s="605" t="s">
        <v>865</v>
      </c>
      <c r="K9" s="606" t="s">
        <v>193</v>
      </c>
      <c r="L9" s="606" t="s">
        <v>193</v>
      </c>
      <c r="M9" s="606" t="s">
        <v>470</v>
      </c>
      <c r="N9" s="606" t="s">
        <v>862</v>
      </c>
      <c r="O9" s="606" t="s">
        <v>863</v>
      </c>
      <c r="P9" s="607" t="s">
        <v>193</v>
      </c>
      <c r="Q9" s="607" t="s">
        <v>604</v>
      </c>
      <c r="R9" s="608" t="s">
        <v>520</v>
      </c>
      <c r="S9" s="603"/>
      <c r="T9" s="610"/>
      <c r="U9" s="610"/>
      <c r="V9" s="610"/>
      <c r="W9" s="610"/>
      <c r="X9" s="610"/>
      <c r="Y9" s="603"/>
      <c r="Z9" s="610"/>
      <c r="AA9" s="610"/>
      <c r="AB9" s="610"/>
      <c r="AC9" s="611"/>
      <c r="AD9" s="610"/>
      <c r="AE9" s="610"/>
      <c r="AF9" s="610"/>
      <c r="AG9" s="610"/>
      <c r="AH9" s="610"/>
      <c r="AI9" s="610"/>
      <c r="AJ9" s="610"/>
      <c r="AK9" s="610"/>
      <c r="AL9" s="610"/>
      <c r="AM9" s="603"/>
    </row>
    <row r="10" ht="64.4" customHeight="1" spans="1:39">
      <c r="A10" s="612"/>
      <c r="B10" s="612"/>
      <c r="C10" s="612"/>
      <c r="D10" s="612"/>
      <c r="E10" s="612"/>
      <c r="F10" s="612"/>
      <c r="G10" s="613"/>
      <c r="H10" s="613"/>
      <c r="I10" s="613"/>
      <c r="J10" s="613"/>
      <c r="K10" s="613"/>
      <c r="L10" s="613"/>
      <c r="M10" s="613"/>
      <c r="N10" s="613"/>
      <c r="O10" s="613"/>
      <c r="P10" s="603"/>
      <c r="Q10" s="603"/>
      <c r="R10" s="608"/>
      <c r="S10" s="612"/>
      <c r="T10" s="612"/>
      <c r="U10" s="612"/>
      <c r="V10" s="612"/>
      <c r="W10" s="612"/>
      <c r="X10" s="612"/>
      <c r="Y10" s="612"/>
      <c r="Z10" s="612"/>
      <c r="AA10" s="612"/>
      <c r="AB10" s="612"/>
      <c r="AC10" s="612"/>
      <c r="AD10" s="612"/>
      <c r="AE10" s="612"/>
      <c r="AF10" s="612"/>
      <c r="AG10" s="612"/>
      <c r="AH10" s="612"/>
      <c r="AI10" s="612"/>
      <c r="AJ10" s="612"/>
      <c r="AK10" s="612"/>
      <c r="AL10" s="612"/>
      <c r="AM10" s="612"/>
    </row>
    <row r="11" ht="15.65" customHeight="1" spans="1:39">
      <c r="A11" s="614"/>
      <c r="B11" s="614"/>
      <c r="C11" s="614"/>
      <c r="D11" s="614"/>
      <c r="E11" s="614"/>
      <c r="F11" s="614"/>
      <c r="G11" s="613"/>
      <c r="H11" s="613"/>
      <c r="I11" s="613"/>
      <c r="J11" s="613"/>
      <c r="K11" s="613"/>
      <c r="L11" s="613"/>
      <c r="M11" s="613"/>
      <c r="N11" s="613"/>
      <c r="O11" s="613"/>
      <c r="P11" s="603"/>
      <c r="Q11" s="603"/>
      <c r="R11" s="608"/>
      <c r="S11" s="614"/>
      <c r="T11" s="614"/>
      <c r="U11" s="614"/>
      <c r="V11" s="614"/>
      <c r="W11" s="614"/>
      <c r="X11" s="614"/>
      <c r="Y11" s="614"/>
      <c r="Z11" s="614"/>
      <c r="AA11" s="614"/>
      <c r="AB11" s="614"/>
      <c r="AC11" s="614"/>
      <c r="AD11" s="614"/>
      <c r="AE11" s="614"/>
      <c r="AF11" s="614"/>
      <c r="AG11" s="614"/>
      <c r="AH11" s="614"/>
      <c r="AI11" s="614"/>
      <c r="AJ11" s="614"/>
      <c r="AK11" s="614"/>
      <c r="AL11" s="614"/>
      <c r="AM11" s="614"/>
    </row>
    <row r="12" spans="1:39">
      <c r="A12" s="615"/>
      <c r="B12" s="615"/>
      <c r="C12" s="615"/>
      <c r="D12" s="615"/>
      <c r="E12" s="616"/>
      <c r="F12" s="615"/>
      <c r="G12" s="615"/>
      <c r="H12" s="615"/>
      <c r="I12" s="615"/>
      <c r="J12" s="615"/>
      <c r="K12" s="615"/>
      <c r="L12" s="615"/>
      <c r="M12" s="615"/>
      <c r="N12" s="615"/>
      <c r="O12" s="615"/>
      <c r="P12" s="615"/>
      <c r="Q12" s="617"/>
      <c r="R12" s="615"/>
      <c r="S12" s="617"/>
      <c r="T12" s="617"/>
      <c r="U12" s="617"/>
      <c r="V12" s="617"/>
      <c r="W12" s="617"/>
      <c r="X12" s="617"/>
      <c r="Y12" s="617"/>
      <c r="Z12" s="617"/>
      <c r="AA12" s="617"/>
      <c r="AB12" s="617"/>
      <c r="AC12" s="617"/>
      <c r="AD12" s="617"/>
      <c r="AE12" s="617"/>
      <c r="AF12" s="617"/>
      <c r="AG12" s="617"/>
      <c r="AH12" s="617"/>
      <c r="AI12" s="617"/>
      <c r="AJ12" s="617"/>
      <c r="AK12" s="617"/>
      <c r="AL12" s="617"/>
      <c r="AM12" s="615"/>
    </row>
    <row r="13" spans="1:39">
      <c r="A13" s="615"/>
      <c r="B13" s="615"/>
      <c r="C13" s="615"/>
      <c r="D13" s="615"/>
      <c r="E13" s="616"/>
      <c r="F13" s="615"/>
      <c r="G13" s="615"/>
      <c r="H13" s="615"/>
      <c r="I13" s="615"/>
      <c r="J13" s="615"/>
      <c r="K13" s="615"/>
      <c r="L13" s="615"/>
      <c r="M13" s="615"/>
      <c r="N13" s="615"/>
      <c r="O13" s="615"/>
      <c r="P13" s="615"/>
      <c r="Q13" s="617"/>
      <c r="R13" s="615"/>
      <c r="S13" s="617"/>
      <c r="T13" s="617"/>
      <c r="U13" s="617"/>
      <c r="V13" s="617"/>
      <c r="W13" s="617"/>
      <c r="X13" s="617"/>
      <c r="Y13" s="617"/>
      <c r="Z13" s="617"/>
      <c r="AA13" s="617"/>
      <c r="AB13" s="617"/>
      <c r="AC13" s="617"/>
      <c r="AD13" s="617"/>
      <c r="AE13" s="617"/>
      <c r="AF13" s="617"/>
      <c r="AG13" s="617"/>
      <c r="AH13" s="617"/>
      <c r="AI13" s="617"/>
      <c r="AJ13" s="617"/>
      <c r="AK13" s="617"/>
      <c r="AL13" s="617"/>
      <c r="AM13" s="615"/>
    </row>
    <row r="14" spans="1:39">
      <c r="A14" s="615"/>
      <c r="B14" s="615"/>
      <c r="C14" s="615"/>
      <c r="D14" s="615"/>
      <c r="E14" s="616"/>
      <c r="F14" s="615"/>
      <c r="G14" s="615"/>
      <c r="H14" s="615"/>
      <c r="I14" s="615"/>
      <c r="J14" s="615"/>
      <c r="K14" s="615"/>
      <c r="L14" s="615"/>
      <c r="M14" s="615"/>
      <c r="N14" s="615"/>
      <c r="O14" s="615"/>
      <c r="P14" s="615"/>
      <c r="Q14" s="617"/>
      <c r="R14" s="615"/>
      <c r="S14" s="617"/>
      <c r="T14" s="617"/>
      <c r="U14" s="617"/>
      <c r="V14" s="617"/>
      <c r="W14" s="617"/>
      <c r="X14" s="617"/>
      <c r="Y14" s="617"/>
      <c r="Z14" s="617"/>
      <c r="AA14" s="617"/>
      <c r="AB14" s="617"/>
      <c r="AC14" s="617"/>
      <c r="AD14" s="617"/>
      <c r="AE14" s="617"/>
      <c r="AF14" s="617"/>
      <c r="AG14" s="617"/>
      <c r="AH14" s="617"/>
      <c r="AI14" s="617"/>
      <c r="AJ14" s="617"/>
      <c r="AK14" s="617"/>
      <c r="AL14" s="617"/>
      <c r="AM14" s="615"/>
    </row>
    <row r="15" spans="1:39">
      <c r="A15" s="615"/>
      <c r="B15" s="615"/>
      <c r="C15" s="615"/>
      <c r="D15" s="615"/>
      <c r="E15" s="616"/>
      <c r="F15" s="615"/>
      <c r="G15" s="615"/>
      <c r="H15" s="615"/>
      <c r="I15" s="615"/>
      <c r="J15" s="615"/>
      <c r="K15" s="615"/>
      <c r="L15" s="615"/>
      <c r="M15" s="615"/>
      <c r="N15" s="615"/>
      <c r="O15" s="615"/>
      <c r="P15" s="615"/>
      <c r="Q15" s="617"/>
      <c r="R15" s="615"/>
      <c r="S15" s="617"/>
      <c r="T15" s="617"/>
      <c r="U15" s="617"/>
      <c r="V15" s="617"/>
      <c r="W15" s="617"/>
      <c r="X15" s="617"/>
      <c r="Y15" s="617"/>
      <c r="Z15" s="617"/>
      <c r="AA15" s="617"/>
      <c r="AB15" s="617"/>
      <c r="AC15" s="617"/>
      <c r="AD15" s="617"/>
      <c r="AE15" s="617"/>
      <c r="AF15" s="617"/>
      <c r="AG15" s="617"/>
      <c r="AH15" s="617"/>
      <c r="AI15" s="617"/>
      <c r="AJ15" s="617"/>
      <c r="AK15" s="617"/>
      <c r="AL15" s="617"/>
      <c r="AM15" s="615"/>
    </row>
    <row r="16" spans="1:39">
      <c r="A16" s="615"/>
      <c r="B16" s="615"/>
      <c r="C16" s="615"/>
      <c r="D16" s="615"/>
      <c r="E16" s="616"/>
      <c r="F16" s="615"/>
      <c r="G16" s="615"/>
      <c r="H16" s="615"/>
      <c r="I16" s="615"/>
      <c r="J16" s="615"/>
      <c r="K16" s="615"/>
      <c r="L16" s="615"/>
      <c r="M16" s="615"/>
      <c r="N16" s="615"/>
      <c r="O16" s="615"/>
      <c r="P16" s="615"/>
      <c r="Q16" s="617"/>
      <c r="R16" s="615"/>
      <c r="S16" s="617"/>
      <c r="T16" s="617"/>
      <c r="U16" s="617"/>
      <c r="V16" s="617"/>
      <c r="W16" s="617"/>
      <c r="X16" s="617"/>
      <c r="Y16" s="617"/>
      <c r="Z16" s="617"/>
      <c r="AA16" s="617"/>
      <c r="AB16" s="617"/>
      <c r="AC16" s="617"/>
      <c r="AD16" s="617"/>
      <c r="AE16" s="617"/>
      <c r="AF16" s="617"/>
      <c r="AG16" s="617"/>
      <c r="AH16" s="617"/>
      <c r="AI16" s="617"/>
      <c r="AJ16" s="617"/>
      <c r="AK16" s="617"/>
      <c r="AL16" s="617"/>
      <c r="AM16" s="615"/>
    </row>
    <row r="17" spans="1:39">
      <c r="A17" s="618"/>
      <c r="B17" s="619"/>
      <c r="C17" s="619"/>
      <c r="D17" s="619"/>
      <c r="E17" s="619"/>
      <c r="F17" s="619"/>
      <c r="G17" s="619"/>
      <c r="H17" s="619"/>
      <c r="I17" s="619"/>
      <c r="J17" s="619"/>
      <c r="K17" s="619"/>
      <c r="L17" s="619"/>
      <c r="M17" s="619"/>
      <c r="N17" s="619"/>
      <c r="O17" s="619"/>
      <c r="P17" s="619"/>
      <c r="Q17" s="617"/>
      <c r="R17" s="619"/>
      <c r="S17" s="617"/>
      <c r="T17" s="617"/>
      <c r="U17" s="617"/>
      <c r="V17" s="617"/>
      <c r="W17" s="617"/>
      <c r="X17" s="617"/>
      <c r="Y17" s="617"/>
      <c r="Z17" s="617"/>
      <c r="AA17" s="617"/>
      <c r="AB17" s="617"/>
      <c r="AC17" s="617"/>
      <c r="AD17" s="617"/>
      <c r="AE17" s="617"/>
      <c r="AF17" s="617"/>
      <c r="AG17" s="617"/>
      <c r="AH17" s="617"/>
      <c r="AI17" s="617"/>
      <c r="AJ17" s="617"/>
      <c r="AK17" s="617"/>
      <c r="AL17" s="617"/>
      <c r="AM17" s="619"/>
    </row>
    <row r="18" spans="1:39">
      <c r="A18" s="618" t="s">
        <v>237</v>
      </c>
      <c r="B18" s="619"/>
      <c r="C18" s="619"/>
      <c r="D18" s="619"/>
      <c r="E18" s="619"/>
      <c r="F18" s="619"/>
      <c r="G18" s="619"/>
      <c r="H18" s="619"/>
      <c r="I18" s="619"/>
      <c r="J18" s="619"/>
      <c r="K18" s="619"/>
      <c r="L18" s="619"/>
      <c r="M18" s="619"/>
      <c r="N18" s="619"/>
      <c r="O18" s="619"/>
      <c r="P18" s="619"/>
      <c r="Q18" s="617"/>
      <c r="R18" s="619"/>
      <c r="S18" s="617"/>
      <c r="T18" s="617"/>
      <c r="U18" s="617"/>
      <c r="V18" s="617"/>
      <c r="W18" s="617"/>
      <c r="X18" s="617"/>
      <c r="Y18" s="617"/>
      <c r="Z18" s="617"/>
      <c r="AA18" s="617"/>
      <c r="AB18" s="617"/>
      <c r="AC18" s="617"/>
      <c r="AD18" s="617"/>
      <c r="AE18" s="617"/>
      <c r="AF18" s="617"/>
      <c r="AG18" s="617"/>
      <c r="AH18" s="617"/>
      <c r="AI18" s="617"/>
      <c r="AJ18" s="617"/>
      <c r="AK18" s="617"/>
      <c r="AL18" s="617"/>
      <c r="AM18" s="619"/>
    </row>
  </sheetData>
  <sheetProtection selectLockedCells="1" formatCells="0" formatColumns="0" formatRows="0" insertRows="0" insertColumns="0" insertHyperlinks="0" deleteColumns="0" deleteRows="0" sort="0" autoFilter="0" pivotTables="0"/>
  <mergeCells count="59">
    <mergeCell ref="S4:AA4"/>
    <mergeCell ref="AB4:AJ4"/>
    <mergeCell ref="S5:U5"/>
    <mergeCell ref="V5:X5"/>
    <mergeCell ref="Y5:AA5"/>
    <mergeCell ref="AB5:AD5"/>
    <mergeCell ref="AE5:AG5"/>
    <mergeCell ref="AH5:AJ5"/>
    <mergeCell ref="A7:AM7"/>
    <mergeCell ref="A4:A6"/>
    <mergeCell ref="A8:A9"/>
    <mergeCell ref="B4:B6"/>
    <mergeCell ref="B8:B9"/>
    <mergeCell ref="C4:C6"/>
    <mergeCell ref="C8:C9"/>
    <mergeCell ref="D4:D6"/>
    <mergeCell ref="D8:D9"/>
    <mergeCell ref="E4:E6"/>
    <mergeCell ref="E8:E9"/>
    <mergeCell ref="F4:F6"/>
    <mergeCell ref="F8:F9"/>
    <mergeCell ref="G4:G6"/>
    <mergeCell ref="G8:G9"/>
    <mergeCell ref="H4:H6"/>
    <mergeCell ref="I4:I6"/>
    <mergeCell ref="J4:J6"/>
    <mergeCell ref="K4:K6"/>
    <mergeCell ref="L4:L6"/>
    <mergeCell ref="M4:M6"/>
    <mergeCell ref="N4:N6"/>
    <mergeCell ref="O4:O6"/>
    <mergeCell ref="P4:P6"/>
    <mergeCell ref="Q4:Q6"/>
    <mergeCell ref="R4:R6"/>
    <mergeCell ref="S8:S9"/>
    <mergeCell ref="T8:T9"/>
    <mergeCell ref="U8:U9"/>
    <mergeCell ref="V8:V9"/>
    <mergeCell ref="W8:W9"/>
    <mergeCell ref="X8:X9"/>
    <mergeCell ref="Y8:Y9"/>
    <mergeCell ref="Z8:Z9"/>
    <mergeCell ref="AA8:AA9"/>
    <mergeCell ref="AB8:AB9"/>
    <mergeCell ref="AC8:AC9"/>
    <mergeCell ref="AD8:AD9"/>
    <mergeCell ref="AE8:AE9"/>
    <mergeCell ref="AF8:AF9"/>
    <mergeCell ref="AG8:AG9"/>
    <mergeCell ref="AH8:AH9"/>
    <mergeCell ref="AI8:AI9"/>
    <mergeCell ref="AJ8:AJ9"/>
    <mergeCell ref="AK4:AK6"/>
    <mergeCell ref="AK8:AK9"/>
    <mergeCell ref="AL4:AL6"/>
    <mergeCell ref="AL8:AL9"/>
    <mergeCell ref="AM4:AM6"/>
    <mergeCell ref="AM8:AM9"/>
    <mergeCell ref="A1:E3"/>
  </mergeCells>
  <conditionalFormatting sqref="G4:R4">
    <cfRule type="cellIs" dxfId="5" priority="1" stopIfTrue="1" operator="equal">
      <formula>"tbd"</formula>
    </cfRule>
  </conditionalFormatting>
  <dataValidations count="8">
    <dataValidation type="list" allowBlank="1" showInputMessage="1" showErrorMessage="1" sqref="E8 E1:E3 E12:E21 E24:E1048576">
      <formula1>"W,R,R/W"</formula1>
    </dataValidation>
    <dataValidation type="list" allowBlank="1" showInputMessage="1" showErrorMessage="1" sqref="S8:AL8 S10:AL21 S24:AL1048576 AK1:AL6">
      <formula1>"Y,N"</formula1>
    </dataValidation>
    <dataValidation type="list" allowBlank="1" showInputMessage="1" showErrorMessage="1" sqref="M10">
      <formula1>[3]Predefined!#REF!</formula1>
    </dataValidation>
    <dataValidation type="list" allowBlank="1" showInputMessage="1" showErrorMessage="1" sqref="M11 M8:M9">
      <formula1>#REF!</formula1>
    </dataValidation>
    <dataValidation type="list" allowBlank="1" showInputMessage="1" showErrorMessage="1" sqref="M12:M21">
      <formula1>Predefined!$C$2:$C$69</formula1>
    </dataValidation>
    <dataValidation type="list" allowBlank="1" showInputMessage="1" showErrorMessage="1" sqref="M24:M1048576">
      <formula1>$C$2:$C$77</formula1>
    </dataValidation>
    <dataValidation type="list" allowBlank="1" showInputMessage="1" showErrorMessage="1" sqref="Q8:Q21 Q24:Q1048576">
      <formula1>"ASCII,Unsigned,Signed,Texttable,Bytefield,Float,Reserved"</formula1>
    </dataValidation>
    <dataValidation type="list" allowBlank="1" showInputMessage="1" showErrorMessage="1" sqref="R8:R21 R24:R1048576">
      <formula1>"Flash,EEPROM,RAM,TBD"</formula1>
    </dataValidation>
  </dataValidations>
  <pageMargins left="0.699305555555556" right="0.699305555555556" top="0.75" bottom="0.75" header="0.3" footer="0.3"/>
  <pageSetup paperSize="9" scale="29" orientation="portrait"/>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D11"/>
  <sheetViews>
    <sheetView zoomScale="110" zoomScaleNormal="110" workbookViewId="0">
      <selection activeCell="AC6" sqref="AC6:AC8"/>
    </sheetView>
  </sheetViews>
  <sheetFormatPr defaultColWidth="9" defaultRowHeight="13"/>
  <cols>
    <col min="1" max="1" width="4.63636363636364" style="541" customWidth="1"/>
    <col min="2" max="2" width="15.7272727272727" style="541" customWidth="1"/>
    <col min="3" max="3" width="29.0909090909091" style="541" customWidth="1"/>
    <col min="4" max="4" width="25.0909090909091" style="541" customWidth="1"/>
    <col min="5" max="5" width="26.0909090909091" style="541" customWidth="1"/>
    <col min="6" max="6" width="6.45454545454545" style="541" customWidth="1"/>
    <col min="7" max="7" width="6.72727272727273" style="541" customWidth="1"/>
    <col min="8" max="8" width="6.90909090909091" style="541" customWidth="1"/>
    <col min="9" max="9" width="19.0909090909091" style="541" customWidth="1"/>
    <col min="10" max="10" width="19" style="541" customWidth="1"/>
    <col min="11" max="11" width="14.0909090909091" style="541" customWidth="1"/>
    <col min="12" max="12" width="14.4545454545455" style="541" customWidth="1"/>
    <col min="13" max="13" width="10.0909090909091" style="541" customWidth="1"/>
    <col min="14" max="14" width="20.7272727272727" style="541" customWidth="1"/>
    <col min="15" max="15" width="22" style="541" customWidth="1"/>
    <col min="16" max="16" width="15.6363636363636" style="541" customWidth="1"/>
    <col min="17" max="17" width="8.90909090909091" style="541" customWidth="1"/>
    <col min="18" max="20" width="8.36363636363636" style="541" customWidth="1"/>
    <col min="21" max="21" width="7.09090909090909" style="541" customWidth="1"/>
    <col min="22" max="22" width="7.36363636363636" style="541" customWidth="1"/>
    <col min="23" max="23" width="8" style="541" customWidth="1"/>
    <col min="24" max="26" width="9.09090909090909" style="541" customWidth="1"/>
    <col min="27" max="27" width="22" style="541" customWidth="1"/>
    <col min="28" max="28" width="39.7272727272727" style="541" customWidth="1"/>
    <col min="29" max="29" width="29.7272727272727" style="541" customWidth="1"/>
    <col min="30" max="30" width="10.0909090909091" style="541" customWidth="1"/>
    <col min="31" max="16384" width="9" style="541"/>
  </cols>
  <sheetData>
    <row r="1" spans="1:30">
      <c r="A1" s="542" t="s">
        <v>741</v>
      </c>
      <c r="B1" s="542"/>
      <c r="C1" s="542"/>
      <c r="D1" s="542"/>
      <c r="E1" s="542"/>
      <c r="F1" s="543"/>
      <c r="G1" s="543"/>
      <c r="H1" s="543"/>
      <c r="I1" s="543"/>
      <c r="J1" s="543"/>
      <c r="K1" s="543"/>
      <c r="L1" s="544"/>
      <c r="M1" s="544"/>
      <c r="N1" s="544"/>
      <c r="O1" s="544"/>
      <c r="P1" s="544"/>
      <c r="Q1" s="544"/>
      <c r="R1" s="544"/>
      <c r="S1" s="544"/>
      <c r="T1" s="544"/>
      <c r="U1" s="544"/>
      <c r="V1" s="544"/>
      <c r="W1" s="544"/>
      <c r="X1" s="543"/>
      <c r="Y1" s="543"/>
      <c r="Z1" s="543"/>
      <c r="AA1" s="543"/>
      <c r="AB1" s="543"/>
      <c r="AC1" s="543"/>
      <c r="AD1" s="543"/>
    </row>
    <row r="2" spans="1:30">
      <c r="A2" s="542"/>
      <c r="B2" s="542"/>
      <c r="C2" s="542"/>
      <c r="D2" s="542"/>
      <c r="E2" s="542"/>
      <c r="F2" s="543"/>
      <c r="G2" s="543"/>
      <c r="H2" s="543"/>
      <c r="I2" s="543"/>
      <c r="J2" s="543"/>
      <c r="K2" s="543"/>
      <c r="L2" s="544"/>
      <c r="M2" s="544"/>
      <c r="N2" s="544"/>
      <c r="O2" s="544"/>
      <c r="P2" s="544"/>
      <c r="Q2" s="544"/>
      <c r="R2" s="544"/>
      <c r="S2" s="544"/>
      <c r="T2" s="544"/>
      <c r="U2" s="544"/>
      <c r="V2" s="544"/>
      <c r="W2" s="544"/>
      <c r="X2" s="544"/>
      <c r="Y2" s="543"/>
      <c r="Z2" s="543"/>
      <c r="AA2" s="544"/>
      <c r="AB2" s="544"/>
      <c r="AC2" s="544"/>
      <c r="AD2" s="544"/>
    </row>
    <row r="3" ht="45" customHeight="1" spans="1:30">
      <c r="A3" s="545"/>
      <c r="B3" s="545"/>
      <c r="C3" s="545"/>
      <c r="D3" s="545"/>
      <c r="E3" s="545"/>
      <c r="F3" s="543"/>
      <c r="G3" s="543"/>
      <c r="H3" s="543"/>
      <c r="I3" s="543"/>
      <c r="J3" s="543"/>
      <c r="K3" s="543"/>
      <c r="L3" s="544"/>
      <c r="M3" s="544"/>
      <c r="N3" s="544"/>
      <c r="O3" s="544"/>
      <c r="P3" s="544"/>
      <c r="Q3" s="544"/>
      <c r="R3" s="544"/>
      <c r="S3" s="544"/>
      <c r="T3" s="544"/>
      <c r="U3" s="544"/>
      <c r="V3" s="544"/>
      <c r="W3" s="544"/>
      <c r="X3" s="543"/>
      <c r="Y3" s="543"/>
      <c r="Z3" s="543"/>
      <c r="AA3" s="543"/>
      <c r="AB3" s="543"/>
      <c r="AC3" s="543"/>
      <c r="AD3" s="543"/>
    </row>
    <row r="4" ht="28.4" customHeight="1" spans="1:30">
      <c r="A4" s="546" t="s">
        <v>437</v>
      </c>
      <c r="B4" s="546" t="s">
        <v>866</v>
      </c>
      <c r="C4" s="546" t="s">
        <v>439</v>
      </c>
      <c r="D4" s="546" t="s">
        <v>440</v>
      </c>
      <c r="E4" s="546" t="s">
        <v>867</v>
      </c>
      <c r="F4" s="547" t="s">
        <v>868</v>
      </c>
      <c r="G4" s="548"/>
      <c r="H4" s="548"/>
      <c r="I4" s="548"/>
      <c r="J4" s="548"/>
      <c r="K4" s="548"/>
      <c r="L4" s="548"/>
      <c r="M4" s="548"/>
      <c r="N4" s="548"/>
      <c r="O4" s="548"/>
      <c r="P4" s="548"/>
      <c r="Q4" s="549"/>
      <c r="R4" s="550" t="s">
        <v>244</v>
      </c>
      <c r="S4" s="551"/>
      <c r="T4" s="552"/>
      <c r="U4" s="550" t="s">
        <v>462</v>
      </c>
      <c r="V4" s="551"/>
      <c r="W4" s="552"/>
      <c r="X4" s="401" t="s">
        <v>869</v>
      </c>
      <c r="Y4" s="401" t="s">
        <v>457</v>
      </c>
      <c r="Z4" s="401" t="s">
        <v>458</v>
      </c>
      <c r="AA4" s="546" t="s">
        <v>870</v>
      </c>
      <c r="AB4" s="546" t="s">
        <v>871</v>
      </c>
      <c r="AC4" s="546" t="s">
        <v>872</v>
      </c>
      <c r="AD4" s="553" t="s">
        <v>873</v>
      </c>
    </row>
    <row r="5" ht="26.5" customHeight="1" spans="1:30">
      <c r="A5" s="546"/>
      <c r="B5" s="546"/>
      <c r="C5" s="546"/>
      <c r="D5" s="546"/>
      <c r="E5" s="546"/>
      <c r="F5" s="546" t="s">
        <v>442</v>
      </c>
      <c r="G5" s="546" t="s">
        <v>443</v>
      </c>
      <c r="H5" s="546" t="s">
        <v>444</v>
      </c>
      <c r="I5" s="546" t="s">
        <v>445</v>
      </c>
      <c r="J5" s="546" t="s">
        <v>446</v>
      </c>
      <c r="K5" s="554" t="s">
        <v>447</v>
      </c>
      <c r="L5" s="554" t="s">
        <v>448</v>
      </c>
      <c r="M5" s="554" t="s">
        <v>449</v>
      </c>
      <c r="N5" s="554" t="s">
        <v>450</v>
      </c>
      <c r="O5" s="554" t="s">
        <v>451</v>
      </c>
      <c r="P5" s="554" t="s">
        <v>452</v>
      </c>
      <c r="Q5" s="546" t="s">
        <v>874</v>
      </c>
      <c r="R5" s="404" t="s">
        <v>257</v>
      </c>
      <c r="S5" s="404" t="s">
        <v>398</v>
      </c>
      <c r="T5" s="404" t="s">
        <v>258</v>
      </c>
      <c r="U5" s="404" t="s">
        <v>463</v>
      </c>
      <c r="V5" s="404" t="s">
        <v>260</v>
      </c>
      <c r="W5" s="404" t="s">
        <v>399</v>
      </c>
      <c r="X5" s="401"/>
      <c r="Y5" s="401"/>
      <c r="Z5" s="401"/>
      <c r="AA5" s="555"/>
      <c r="AB5" s="555"/>
      <c r="AC5" s="555"/>
      <c r="AD5" s="553"/>
    </row>
    <row r="6" s="539" customFormat="1" ht="32.5" customHeight="1" spans="1:30">
      <c r="A6" s="556" t="s">
        <v>384</v>
      </c>
      <c r="B6" s="557" t="s">
        <v>875</v>
      </c>
      <c r="C6" s="558" t="s">
        <v>876</v>
      </c>
      <c r="D6" s="557" t="s">
        <v>877</v>
      </c>
      <c r="E6" s="559" t="s">
        <v>273</v>
      </c>
      <c r="F6" s="560" t="s">
        <v>384</v>
      </c>
      <c r="G6" s="561" t="s">
        <v>618</v>
      </c>
      <c r="H6" s="560" t="s">
        <v>618</v>
      </c>
      <c r="I6" s="560" t="s">
        <v>878</v>
      </c>
      <c r="J6" s="560" t="s">
        <v>879</v>
      </c>
      <c r="K6" s="562" t="s">
        <v>193</v>
      </c>
      <c r="L6" s="562" t="s">
        <v>193</v>
      </c>
      <c r="M6" s="475" t="s">
        <v>470</v>
      </c>
      <c r="N6" s="563" t="s">
        <v>880</v>
      </c>
      <c r="O6" s="563" t="s">
        <v>881</v>
      </c>
      <c r="P6" s="562" t="s">
        <v>193</v>
      </c>
      <c r="Q6" s="473" t="s">
        <v>604</v>
      </c>
      <c r="R6" s="564" t="s">
        <v>272</v>
      </c>
      <c r="S6" s="564" t="s">
        <v>272</v>
      </c>
      <c r="T6" s="564" t="s">
        <v>266</v>
      </c>
      <c r="U6" s="564" t="s">
        <v>272</v>
      </c>
      <c r="V6" s="564" t="s">
        <v>266</v>
      </c>
      <c r="W6" s="564" t="s">
        <v>272</v>
      </c>
      <c r="X6" s="565" t="s">
        <v>193</v>
      </c>
      <c r="Y6" s="564" t="s">
        <v>266</v>
      </c>
      <c r="Z6" s="564" t="s">
        <v>266</v>
      </c>
      <c r="AA6" s="562" t="s">
        <v>193</v>
      </c>
      <c r="AB6" s="562" t="s">
        <v>193</v>
      </c>
      <c r="AC6" s="566" t="s">
        <v>882</v>
      </c>
      <c r="AD6" s="473"/>
    </row>
    <row r="7" s="540" customFormat="1" ht="25.4" customHeight="1" spans="1:30">
      <c r="A7" s="567"/>
      <c r="B7" s="568"/>
      <c r="C7" s="569"/>
      <c r="D7" s="568"/>
      <c r="E7" s="559"/>
      <c r="F7" s="560"/>
      <c r="G7" s="561" t="s">
        <v>618</v>
      </c>
      <c r="H7" s="560" t="s">
        <v>384</v>
      </c>
      <c r="I7" s="560" t="s">
        <v>883</v>
      </c>
      <c r="J7" s="560" t="s">
        <v>884</v>
      </c>
      <c r="K7" s="562" t="s">
        <v>193</v>
      </c>
      <c r="L7" s="562" t="s">
        <v>193</v>
      </c>
      <c r="M7" s="475" t="s">
        <v>470</v>
      </c>
      <c r="N7" s="563" t="s">
        <v>885</v>
      </c>
      <c r="O7" s="563" t="s">
        <v>886</v>
      </c>
      <c r="P7" s="562" t="s">
        <v>193</v>
      </c>
      <c r="Q7" s="473" t="s">
        <v>604</v>
      </c>
      <c r="R7" s="564"/>
      <c r="S7" s="564"/>
      <c r="T7" s="564"/>
      <c r="U7" s="564"/>
      <c r="V7" s="564"/>
      <c r="W7" s="564"/>
      <c r="X7" s="565"/>
      <c r="Y7" s="564"/>
      <c r="Z7" s="564"/>
      <c r="AA7" s="562" t="s">
        <v>193</v>
      </c>
      <c r="AB7" s="562" t="s">
        <v>193</v>
      </c>
      <c r="AC7" s="570"/>
      <c r="AD7" s="473"/>
    </row>
    <row r="8" s="540" customFormat="1" ht="42" customHeight="1" spans="1:30">
      <c r="A8" s="567"/>
      <c r="B8" s="568"/>
      <c r="C8" s="569"/>
      <c r="D8" s="568"/>
      <c r="E8" s="559"/>
      <c r="F8" s="560"/>
      <c r="G8" s="561" t="s">
        <v>618</v>
      </c>
      <c r="H8" s="560" t="s">
        <v>887</v>
      </c>
      <c r="I8" s="560" t="s">
        <v>103</v>
      </c>
      <c r="J8" s="560" t="s">
        <v>888</v>
      </c>
      <c r="K8" s="562" t="s">
        <v>193</v>
      </c>
      <c r="L8" s="562" t="s">
        <v>193</v>
      </c>
      <c r="M8" s="475" t="s">
        <v>470</v>
      </c>
      <c r="N8" s="562" t="s">
        <v>193</v>
      </c>
      <c r="O8" s="562" t="s">
        <v>193</v>
      </c>
      <c r="P8" s="562" t="s">
        <v>193</v>
      </c>
      <c r="Q8" s="473" t="s">
        <v>93</v>
      </c>
      <c r="R8" s="564"/>
      <c r="S8" s="564"/>
      <c r="T8" s="564"/>
      <c r="U8" s="564"/>
      <c r="V8" s="564"/>
      <c r="W8" s="564"/>
      <c r="X8" s="565"/>
      <c r="Y8" s="564"/>
      <c r="Z8" s="564"/>
      <c r="AA8" s="562" t="s">
        <v>193</v>
      </c>
      <c r="AB8" s="562" t="s">
        <v>193</v>
      </c>
      <c r="AC8" s="570"/>
      <c r="AD8" s="473"/>
    </row>
    <row r="9" s="540" customFormat="1" ht="26.5" customHeight="1" spans="1:30">
      <c r="A9" s="571"/>
      <c r="B9" s="572"/>
      <c r="C9" s="573"/>
      <c r="D9" s="572"/>
      <c r="E9" s="559" t="s">
        <v>297</v>
      </c>
      <c r="F9" s="562">
        <v>1</v>
      </c>
      <c r="G9" s="562" t="s">
        <v>193</v>
      </c>
      <c r="H9" s="562" t="s">
        <v>193</v>
      </c>
      <c r="I9" s="562" t="s">
        <v>193</v>
      </c>
      <c r="J9" s="562" t="s">
        <v>193</v>
      </c>
      <c r="K9" s="562" t="s">
        <v>193</v>
      </c>
      <c r="L9" s="562" t="s">
        <v>193</v>
      </c>
      <c r="M9" s="475" t="s">
        <v>470</v>
      </c>
      <c r="N9" s="562" t="s">
        <v>193</v>
      </c>
      <c r="O9" s="562" t="s">
        <v>193</v>
      </c>
      <c r="P9" s="562" t="s">
        <v>193</v>
      </c>
      <c r="Q9" s="562" t="s">
        <v>193</v>
      </c>
      <c r="R9" s="574" t="s">
        <v>272</v>
      </c>
      <c r="S9" s="574" t="s">
        <v>272</v>
      </c>
      <c r="T9" s="574" t="s">
        <v>272</v>
      </c>
      <c r="U9" s="574" t="s">
        <v>272</v>
      </c>
      <c r="V9" s="574" t="s">
        <v>272</v>
      </c>
      <c r="W9" s="574" t="s">
        <v>272</v>
      </c>
      <c r="X9" s="562" t="s">
        <v>193</v>
      </c>
      <c r="Y9" s="574" t="s">
        <v>272</v>
      </c>
      <c r="Z9" s="574" t="s">
        <v>272</v>
      </c>
      <c r="AA9" s="562" t="s">
        <v>193</v>
      </c>
      <c r="AB9" s="562" t="s">
        <v>193</v>
      </c>
      <c r="AC9" s="570"/>
      <c r="AD9" s="473"/>
    </row>
    <row r="10" spans="1:30">
      <c r="A10" s="575"/>
      <c r="B10" s="576"/>
      <c r="C10" s="576"/>
      <c r="D10" s="577"/>
      <c r="E10" s="578"/>
      <c r="F10" s="579"/>
      <c r="G10" s="579"/>
      <c r="H10" s="579"/>
      <c r="I10" s="579"/>
      <c r="J10" s="579"/>
      <c r="K10" s="579"/>
      <c r="L10" s="579"/>
      <c r="M10" s="580"/>
      <c r="N10" s="579"/>
      <c r="O10" s="579"/>
      <c r="P10" s="581"/>
      <c r="Q10" s="581"/>
      <c r="R10" s="582"/>
      <c r="S10" s="582"/>
      <c r="T10" s="582"/>
      <c r="U10" s="582"/>
      <c r="V10" s="582"/>
      <c r="W10" s="582"/>
      <c r="X10" s="576"/>
      <c r="Y10" s="582"/>
      <c r="Z10" s="582"/>
      <c r="AA10" s="576"/>
      <c r="AB10" s="579"/>
      <c r="AC10" s="583"/>
      <c r="AD10" s="576"/>
    </row>
    <row r="11" spans="1:30">
      <c r="A11" s="584" t="s">
        <v>237</v>
      </c>
      <c r="B11" s="584"/>
      <c r="C11" s="584"/>
      <c r="D11" s="584"/>
      <c r="E11" s="584"/>
      <c r="F11" s="584"/>
      <c r="G11" s="584"/>
      <c r="H11" s="584"/>
      <c r="I11" s="584"/>
      <c r="J11" s="584"/>
      <c r="K11" s="584"/>
      <c r="L11" s="584"/>
      <c r="M11" s="584"/>
      <c r="N11" s="584"/>
      <c r="O11" s="584"/>
      <c r="P11" s="584"/>
      <c r="Q11" s="584"/>
      <c r="R11" s="584"/>
      <c r="S11" s="584"/>
      <c r="T11" s="584"/>
      <c r="U11" s="584"/>
      <c r="V11" s="584"/>
      <c r="W11" s="584"/>
      <c r="X11" s="584"/>
      <c r="Y11" s="584"/>
      <c r="Z11" s="584"/>
      <c r="AA11" s="584"/>
      <c r="AB11" s="584"/>
      <c r="AC11" s="584"/>
      <c r="AD11" s="584"/>
    </row>
  </sheetData>
  <mergeCells count="33">
    <mergeCell ref="F4:Q4"/>
    <mergeCell ref="R4:T4"/>
    <mergeCell ref="U4:W4"/>
    <mergeCell ref="A4:A5"/>
    <mergeCell ref="A6:A9"/>
    <mergeCell ref="B4:B5"/>
    <mergeCell ref="B6:B9"/>
    <mergeCell ref="C4:C5"/>
    <mergeCell ref="C6:C9"/>
    <mergeCell ref="D4:D5"/>
    <mergeCell ref="D6:D9"/>
    <mergeCell ref="E4:E5"/>
    <mergeCell ref="E6:E8"/>
    <mergeCell ref="F6:F8"/>
    <mergeCell ref="R6:R8"/>
    <mergeCell ref="S6:S8"/>
    <mergeCell ref="T6:T8"/>
    <mergeCell ref="U6:U8"/>
    <mergeCell ref="V6:V8"/>
    <mergeCell ref="W6:W8"/>
    <mergeCell ref="X4:X5"/>
    <mergeCell ref="X6:X8"/>
    <mergeCell ref="Y4:Y5"/>
    <mergeCell ref="Y6:Y8"/>
    <mergeCell ref="Z4:Z5"/>
    <mergeCell ref="Z6:Z8"/>
    <mergeCell ref="AA4:AA5"/>
    <mergeCell ref="AB4:AB5"/>
    <mergeCell ref="AC4:AC5"/>
    <mergeCell ref="AC6:AC8"/>
    <mergeCell ref="AD4:AD5"/>
    <mergeCell ref="AD6:AD8"/>
    <mergeCell ref="A1:E3"/>
  </mergeCells>
  <conditionalFormatting sqref="K5:P5">
    <cfRule type="cellIs" dxfId="5" priority="5" stopIfTrue="1" operator="equal">
      <formula>"tbd"</formula>
    </cfRule>
  </conditionalFormatting>
  <conditionalFormatting sqref="M6:M9">
    <cfRule type="cellIs" dxfId="5" priority="4" stopIfTrue="1" operator="equal">
      <formula>"tbd"</formula>
    </cfRule>
  </conditionalFormatting>
  <conditionalFormatting sqref="N6:O7">
    <cfRule type="cellIs" dxfId="5" priority="1" stopIfTrue="1" operator="equal">
      <formula>"tbd"</formula>
    </cfRule>
  </conditionalFormatting>
  <dataValidations count="4">
    <dataValidation type="list" allowBlank="1" showInputMessage="1" showErrorMessage="1" sqref="M5 M16:M1048576">
      <formula1>$C$2:$C$61</formula1>
    </dataValidation>
    <dataValidation type="list" allowBlank="1" showInputMessage="1" showErrorMessage="1" sqref="R6:W6 Y6:Z6 R9:W1048576 Y9:Z1048576">
      <formula1>"Y,N"</formula1>
    </dataValidation>
    <dataValidation type="list" allowBlank="1" showInputMessage="1" showErrorMessage="1" sqref="M10:M15">
      <formula1>Predefined!$C$2:$C$69</formula1>
    </dataValidation>
    <dataValidation type="list" allowBlank="1" showInputMessage="1" showErrorMessage="1" sqref="Q6:Q8 Q11:Q1048576">
      <formula1>"ASCII,Unsigned,Signed,Texttable,Bytefield,Float,Reserved"</formula1>
    </dataValidation>
  </dataValidations>
  <pageMargins left="0.7" right="0.7" top="0.75" bottom="0.75" header="0.3" footer="0.3"/>
  <pageSetup paperSize="9" orientation="portrait"/>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P26"/>
  <sheetViews>
    <sheetView showGridLines="0" zoomScale="85" zoomScaleNormal="85" zoomScaleSheetLayoutView="85" workbookViewId="0">
      <pane ySplit="2" topLeftCell="A3" activePane="bottomLeft" state="frozen"/>
      <selection/>
      <selection pane="bottomLeft" activeCell="A23" sqref="A23:C25"/>
    </sheetView>
  </sheetViews>
  <sheetFormatPr defaultColWidth="8" defaultRowHeight="14.5"/>
  <cols>
    <col min="1" max="1" width="15.7272727272727" style="3" customWidth="1"/>
    <col min="2" max="2" width="33.9090909090909" style="4" customWidth="1"/>
    <col min="3" max="3" width="10.7272727272727" style="3" customWidth="1"/>
    <col min="4" max="4" width="36.4545454545455" style="4" customWidth="1"/>
    <col min="5" max="5" width="15.4545454545455" style="3" customWidth="1"/>
    <col min="6" max="6" width="6.45454545454545" style="3" customWidth="1"/>
    <col min="7" max="7" width="9.09090909090909" style="3" customWidth="1"/>
    <col min="8" max="8" width="18.6363636363636" style="4" customWidth="1"/>
    <col min="9" max="9" width="18.0909090909091" style="4" customWidth="1"/>
    <col min="10" max="10" width="8.90909090909091" style="4" customWidth="1"/>
    <col min="11" max="11" width="19" style="4" customWidth="1"/>
    <col min="12" max="12" width="25" style="4" customWidth="1"/>
    <col min="13" max="13" width="13.9090909090909" style="4" customWidth="1"/>
    <col min="14" max="14" width="11.9090909090909" style="4" customWidth="1"/>
    <col min="15" max="15" width="16.3636363636364" style="4" customWidth="1"/>
    <col min="16" max="16" width="21.9090909090909" style="4" customWidth="1"/>
    <col min="17" max="16384" width="8" style="4"/>
  </cols>
  <sheetData>
    <row r="1" s="1" customFormat="1" ht="15.5" spans="1:16">
      <c r="A1" s="5"/>
      <c r="B1" s="6"/>
      <c r="C1" s="6"/>
      <c r="D1" s="7"/>
      <c r="E1" s="7"/>
      <c r="F1" s="7"/>
      <c r="G1" s="7"/>
      <c r="H1" s="6"/>
      <c r="I1" s="6"/>
      <c r="J1" s="6"/>
      <c r="K1" s="8"/>
      <c r="L1" s="8"/>
      <c r="M1" s="8"/>
      <c r="N1" s="8"/>
      <c r="O1" s="8"/>
      <c r="P1" s="8"/>
    </row>
    <row r="2" s="1" customFormat="1" ht="15.5" spans="1:16">
      <c r="A2" s="9" t="s">
        <v>889</v>
      </c>
      <c r="B2" s="9" t="s">
        <v>890</v>
      </c>
      <c r="C2" s="10" t="s">
        <v>891</v>
      </c>
      <c r="D2" s="11" t="s">
        <v>892</v>
      </c>
      <c r="E2" s="11" t="s">
        <v>893</v>
      </c>
      <c r="F2" s="10" t="s">
        <v>894</v>
      </c>
      <c r="G2" s="10" t="s">
        <v>895</v>
      </c>
      <c r="H2" s="12" t="s">
        <v>89</v>
      </c>
      <c r="I2" s="11" t="s">
        <v>896</v>
      </c>
      <c r="J2" s="13" t="s">
        <v>897</v>
      </c>
      <c r="K2" s="14" t="s">
        <v>898</v>
      </c>
      <c r="L2" s="14" t="s">
        <v>899</v>
      </c>
      <c r="M2" s="14" t="s">
        <v>900</v>
      </c>
      <c r="N2" s="14" t="s">
        <v>901</v>
      </c>
      <c r="O2" s="14" t="s">
        <v>902</v>
      </c>
      <c r="P2" s="14" t="s">
        <v>903</v>
      </c>
    </row>
    <row r="3" s="509" customFormat="1" ht="15.5" spans="1:16">
      <c r="A3" s="510" t="s">
        <v>595</v>
      </c>
      <c r="B3" s="511" t="s">
        <v>904</v>
      </c>
      <c r="C3" s="512" t="s">
        <v>467</v>
      </c>
      <c r="D3" s="511" t="s">
        <v>904</v>
      </c>
      <c r="E3" s="23">
        <v>3</v>
      </c>
      <c r="F3" s="18">
        <v>0</v>
      </c>
      <c r="G3" s="18">
        <v>136</v>
      </c>
      <c r="H3" s="19" t="s">
        <v>91</v>
      </c>
      <c r="I3" s="19" t="s">
        <v>905</v>
      </c>
      <c r="J3" s="19" t="s">
        <v>906</v>
      </c>
      <c r="K3" s="513" t="s">
        <v>907</v>
      </c>
      <c r="L3" s="514" t="s">
        <v>908</v>
      </c>
      <c r="M3" s="514" t="s">
        <v>467</v>
      </c>
      <c r="N3" s="514" t="s">
        <v>909</v>
      </c>
      <c r="O3" s="514" t="s">
        <v>910</v>
      </c>
      <c r="P3" s="514"/>
    </row>
    <row r="4" s="509" customFormat="1" ht="15.5" spans="1:16">
      <c r="A4" s="515" t="s">
        <v>521</v>
      </c>
      <c r="B4" s="511" t="s">
        <v>911</v>
      </c>
      <c r="C4" s="512" t="s">
        <v>476</v>
      </c>
      <c r="D4" s="511" t="s">
        <v>904</v>
      </c>
      <c r="E4" s="23">
        <v>3</v>
      </c>
      <c r="F4" s="18">
        <v>0</v>
      </c>
      <c r="G4" s="18">
        <v>72</v>
      </c>
      <c r="H4" s="19" t="s">
        <v>91</v>
      </c>
      <c r="I4" s="19" t="s">
        <v>905</v>
      </c>
      <c r="J4" s="19" t="s">
        <v>906</v>
      </c>
      <c r="K4" s="516" t="s">
        <v>912</v>
      </c>
      <c r="L4" s="517" t="s">
        <v>912</v>
      </c>
      <c r="M4" s="514" t="s">
        <v>476</v>
      </c>
      <c r="N4" s="514" t="s">
        <v>909</v>
      </c>
      <c r="O4" s="514" t="s">
        <v>913</v>
      </c>
      <c r="P4" s="514"/>
    </row>
    <row r="5" s="509" customFormat="1" ht="15.5" spans="1:16">
      <c r="A5" s="31" t="s">
        <v>914</v>
      </c>
      <c r="B5" s="360" t="s">
        <v>915</v>
      </c>
      <c r="C5" s="31" t="s">
        <v>476</v>
      </c>
      <c r="D5" s="518" t="s">
        <v>916</v>
      </c>
      <c r="E5" s="519">
        <v>3</v>
      </c>
      <c r="F5" s="18">
        <v>0</v>
      </c>
      <c r="G5" s="18">
        <v>24</v>
      </c>
      <c r="H5" s="520" t="s">
        <v>91</v>
      </c>
      <c r="I5" s="19" t="s">
        <v>905</v>
      </c>
      <c r="J5" s="521" t="s">
        <v>906</v>
      </c>
      <c r="K5" s="360" t="s">
        <v>917</v>
      </c>
      <c r="L5" s="522" t="s">
        <v>918</v>
      </c>
      <c r="M5" s="360" t="s">
        <v>476</v>
      </c>
      <c r="N5" s="360" t="s">
        <v>476</v>
      </c>
      <c r="O5" s="360" t="s">
        <v>913</v>
      </c>
      <c r="P5" s="360"/>
    </row>
    <row r="6" s="509" customFormat="1" ht="15.5" spans="1:16">
      <c r="A6" s="34"/>
      <c r="B6" s="34"/>
      <c r="C6" s="34"/>
      <c r="D6" s="523" t="s">
        <v>919</v>
      </c>
      <c r="E6" s="519">
        <v>6</v>
      </c>
      <c r="F6" s="18">
        <v>0</v>
      </c>
      <c r="G6" s="18">
        <v>16</v>
      </c>
      <c r="H6" s="520" t="s">
        <v>920</v>
      </c>
      <c r="I6" s="19" t="s">
        <v>921</v>
      </c>
      <c r="J6" s="523" t="s">
        <v>922</v>
      </c>
      <c r="K6" s="368"/>
      <c r="L6" s="524" t="s">
        <v>923</v>
      </c>
      <c r="M6" s="368"/>
      <c r="N6" s="368"/>
      <c r="O6" s="368"/>
      <c r="P6" s="368"/>
    </row>
    <row r="7" s="509" customFormat="1" ht="15.5" spans="1:16">
      <c r="A7" s="34"/>
      <c r="B7" s="34"/>
      <c r="C7" s="34"/>
      <c r="D7" s="523" t="s">
        <v>924</v>
      </c>
      <c r="E7" s="519">
        <v>8</v>
      </c>
      <c r="F7" s="18">
        <v>0</v>
      </c>
      <c r="G7" s="18">
        <v>8</v>
      </c>
      <c r="H7" s="520" t="s">
        <v>920</v>
      </c>
      <c r="I7" s="19" t="s">
        <v>921</v>
      </c>
      <c r="J7" s="523" t="s">
        <v>925</v>
      </c>
      <c r="K7" s="368"/>
      <c r="L7" s="524" t="s">
        <v>926</v>
      </c>
      <c r="M7" s="368"/>
      <c r="N7" s="368"/>
      <c r="O7" s="368"/>
      <c r="P7" s="368"/>
    </row>
    <row r="8" s="509" customFormat="1" ht="15.5" spans="1:16">
      <c r="A8" s="34"/>
      <c r="B8" s="34"/>
      <c r="C8" s="34"/>
      <c r="D8" s="523" t="s">
        <v>927</v>
      </c>
      <c r="E8" s="519">
        <v>9</v>
      </c>
      <c r="F8" s="18">
        <v>0</v>
      </c>
      <c r="G8" s="18">
        <v>8</v>
      </c>
      <c r="H8" s="520" t="s">
        <v>920</v>
      </c>
      <c r="I8" s="19" t="s">
        <v>921</v>
      </c>
      <c r="J8" s="523" t="s">
        <v>928</v>
      </c>
      <c r="K8" s="368"/>
      <c r="L8" s="524" t="s">
        <v>929</v>
      </c>
      <c r="M8" s="368"/>
      <c r="N8" s="368"/>
      <c r="O8" s="368"/>
      <c r="P8" s="368"/>
    </row>
    <row r="9" s="509" customFormat="1" ht="15.5" spans="1:16">
      <c r="A9" s="36"/>
      <c r="B9" s="36"/>
      <c r="C9" s="36"/>
      <c r="D9" s="523" t="s">
        <v>930</v>
      </c>
      <c r="E9" s="519">
        <v>10</v>
      </c>
      <c r="F9" s="18">
        <v>0</v>
      </c>
      <c r="G9" s="18">
        <v>24</v>
      </c>
      <c r="H9" s="520" t="s">
        <v>91</v>
      </c>
      <c r="I9" s="19" t="s">
        <v>905</v>
      </c>
      <c r="J9" s="521" t="s">
        <v>906</v>
      </c>
      <c r="K9" s="370"/>
      <c r="L9" s="524" t="s">
        <v>931</v>
      </c>
      <c r="M9" s="370"/>
      <c r="N9" s="370"/>
      <c r="O9" s="370"/>
      <c r="P9" s="370"/>
    </row>
    <row r="10" s="509" customFormat="1" ht="15.5" spans="1:16">
      <c r="A10" s="31" t="s">
        <v>537</v>
      </c>
      <c r="B10" s="360" t="s">
        <v>932</v>
      </c>
      <c r="C10" s="34" t="s">
        <v>467</v>
      </c>
      <c r="D10" s="523" t="s">
        <v>933</v>
      </c>
      <c r="E10" s="519">
        <v>3</v>
      </c>
      <c r="F10" s="18">
        <v>0</v>
      </c>
      <c r="G10" s="18">
        <v>8</v>
      </c>
      <c r="H10" s="520" t="s">
        <v>920</v>
      </c>
      <c r="I10" s="19" t="s">
        <v>921</v>
      </c>
      <c r="J10" s="523" t="s">
        <v>922</v>
      </c>
      <c r="K10" s="525" t="s">
        <v>934</v>
      </c>
      <c r="L10" s="524" t="s">
        <v>923</v>
      </c>
      <c r="M10" s="368" t="s">
        <v>476</v>
      </c>
      <c r="N10" s="368" t="s">
        <v>752</v>
      </c>
      <c r="O10" s="368" t="s">
        <v>935</v>
      </c>
      <c r="P10" s="368"/>
    </row>
    <row r="11" s="509" customFormat="1" ht="15.5" spans="1:16">
      <c r="A11" s="34"/>
      <c r="B11" s="34"/>
      <c r="C11" s="34"/>
      <c r="D11" s="523" t="s">
        <v>936</v>
      </c>
      <c r="E11" s="519">
        <v>4</v>
      </c>
      <c r="F11" s="18">
        <v>0</v>
      </c>
      <c r="G11" s="18">
        <v>8</v>
      </c>
      <c r="H11" s="520" t="s">
        <v>920</v>
      </c>
      <c r="I11" s="19" t="s">
        <v>921</v>
      </c>
      <c r="J11" s="523" t="s">
        <v>925</v>
      </c>
      <c r="K11" s="368"/>
      <c r="L11" s="524" t="s">
        <v>926</v>
      </c>
      <c r="M11" s="368"/>
      <c r="N11" s="368"/>
      <c r="O11" s="368"/>
      <c r="P11" s="368"/>
    </row>
    <row r="12" s="509" customFormat="1" ht="15.5" spans="1:16">
      <c r="A12" s="34"/>
      <c r="B12" s="34"/>
      <c r="C12" s="34"/>
      <c r="D12" s="523" t="s">
        <v>937</v>
      </c>
      <c r="E12" s="519">
        <v>5</v>
      </c>
      <c r="F12" s="18">
        <v>0</v>
      </c>
      <c r="G12" s="18">
        <v>8</v>
      </c>
      <c r="H12" s="520" t="s">
        <v>920</v>
      </c>
      <c r="I12" s="19" t="s">
        <v>921</v>
      </c>
      <c r="J12" s="523" t="s">
        <v>928</v>
      </c>
      <c r="K12" s="368"/>
      <c r="L12" s="524" t="s">
        <v>929</v>
      </c>
      <c r="M12" s="368"/>
      <c r="N12" s="368"/>
      <c r="O12" s="368"/>
      <c r="P12" s="368"/>
    </row>
    <row r="13" s="509" customFormat="1" ht="15.5" spans="1:16">
      <c r="A13" s="36"/>
      <c r="B13" s="36"/>
      <c r="C13" s="36"/>
      <c r="D13" s="523" t="s">
        <v>938</v>
      </c>
      <c r="E13" s="519">
        <v>6</v>
      </c>
      <c r="F13" s="18">
        <v>0</v>
      </c>
      <c r="G13" s="18">
        <v>48</v>
      </c>
      <c r="H13" s="520" t="s">
        <v>91</v>
      </c>
      <c r="I13" s="19" t="s">
        <v>905</v>
      </c>
      <c r="J13" s="521" t="s">
        <v>906</v>
      </c>
      <c r="K13" s="370"/>
      <c r="L13" s="524" t="s">
        <v>939</v>
      </c>
      <c r="M13" s="370"/>
      <c r="N13" s="370"/>
      <c r="O13" s="370"/>
      <c r="P13" s="370"/>
    </row>
    <row r="14" s="509" customFormat="1" ht="15.5" spans="1:16">
      <c r="A14" s="31" t="s">
        <v>568</v>
      </c>
      <c r="B14" s="511" t="s">
        <v>940</v>
      </c>
      <c r="C14" s="526" t="s">
        <v>476</v>
      </c>
      <c r="D14" s="511" t="s">
        <v>940</v>
      </c>
      <c r="E14" s="23">
        <v>3</v>
      </c>
      <c r="F14" s="18">
        <v>0</v>
      </c>
      <c r="G14" s="18">
        <v>80</v>
      </c>
      <c r="H14" s="19" t="s">
        <v>91</v>
      </c>
      <c r="I14" s="19" t="s">
        <v>905</v>
      </c>
      <c r="J14" s="19" t="s">
        <v>906</v>
      </c>
      <c r="K14" s="513" t="s">
        <v>570</v>
      </c>
      <c r="L14" s="517" t="s">
        <v>570</v>
      </c>
      <c r="M14" s="514" t="s">
        <v>476</v>
      </c>
      <c r="N14" s="514" t="s">
        <v>909</v>
      </c>
      <c r="O14" s="514" t="s">
        <v>941</v>
      </c>
      <c r="P14" s="514"/>
    </row>
    <row r="15" s="509" customFormat="1" ht="15.5" spans="1:16">
      <c r="A15" s="31" t="s">
        <v>942</v>
      </c>
      <c r="B15" s="527" t="s">
        <v>943</v>
      </c>
      <c r="C15" s="31" t="s">
        <v>476</v>
      </c>
      <c r="D15" s="528" t="s">
        <v>944</v>
      </c>
      <c r="E15" s="23">
        <v>3</v>
      </c>
      <c r="F15" s="18">
        <v>0</v>
      </c>
      <c r="G15" s="18">
        <v>40</v>
      </c>
      <c r="H15" s="19" t="s">
        <v>91</v>
      </c>
      <c r="I15" s="19" t="s">
        <v>905</v>
      </c>
      <c r="J15" s="19" t="s">
        <v>906</v>
      </c>
      <c r="K15" s="513" t="s">
        <v>570</v>
      </c>
      <c r="L15" s="517" t="s">
        <v>570</v>
      </c>
      <c r="M15" s="514" t="s">
        <v>476</v>
      </c>
      <c r="N15" s="514" t="s">
        <v>909</v>
      </c>
      <c r="O15" s="514" t="s">
        <v>941</v>
      </c>
      <c r="P15" s="514"/>
    </row>
    <row r="16" ht="15.5" spans="1:16">
      <c r="A16" s="36"/>
      <c r="B16" s="529"/>
      <c r="C16" s="36"/>
      <c r="D16" s="530" t="s">
        <v>943</v>
      </c>
      <c r="E16" s="18">
        <v>6</v>
      </c>
      <c r="F16" s="18">
        <v>0</v>
      </c>
      <c r="G16" s="18">
        <v>32</v>
      </c>
      <c r="H16" s="19" t="s">
        <v>91</v>
      </c>
      <c r="I16" s="19" t="s">
        <v>905</v>
      </c>
      <c r="J16" s="19" t="s">
        <v>906</v>
      </c>
      <c r="K16" s="25" t="s">
        <v>945</v>
      </c>
      <c r="L16" s="25" t="s">
        <v>946</v>
      </c>
      <c r="M16" s="25" t="s">
        <v>476</v>
      </c>
      <c r="N16" s="514" t="s">
        <v>909</v>
      </c>
      <c r="O16" s="514" t="s">
        <v>941</v>
      </c>
      <c r="P16" s="19"/>
    </row>
    <row r="17" s="509" customFormat="1" ht="15" customHeight="1" spans="1:16">
      <c r="A17" s="31" t="s">
        <v>563</v>
      </c>
      <c r="B17" s="360" t="s">
        <v>947</v>
      </c>
      <c r="C17" s="31" t="s">
        <v>476</v>
      </c>
      <c r="D17" s="518" t="s">
        <v>944</v>
      </c>
      <c r="E17" s="519">
        <v>3</v>
      </c>
      <c r="F17" s="18">
        <v>0</v>
      </c>
      <c r="G17" s="18">
        <v>8</v>
      </c>
      <c r="H17" s="520" t="s">
        <v>91</v>
      </c>
      <c r="I17" s="19" t="s">
        <v>905</v>
      </c>
      <c r="J17" s="521" t="s">
        <v>906</v>
      </c>
      <c r="K17" s="360" t="s">
        <v>948</v>
      </c>
      <c r="L17" s="524" t="s">
        <v>949</v>
      </c>
      <c r="M17" s="360" t="s">
        <v>476</v>
      </c>
      <c r="N17" s="360" t="s">
        <v>909</v>
      </c>
      <c r="O17" s="360" t="s">
        <v>913</v>
      </c>
      <c r="P17" s="360"/>
    </row>
    <row r="18" s="509" customFormat="1" ht="15.5" spans="1:16">
      <c r="A18" s="34"/>
      <c r="B18" s="34"/>
      <c r="C18" s="34"/>
      <c r="D18" s="523" t="s">
        <v>950</v>
      </c>
      <c r="E18" s="519">
        <v>4</v>
      </c>
      <c r="F18" s="18">
        <v>0</v>
      </c>
      <c r="G18" s="18">
        <v>8</v>
      </c>
      <c r="H18" s="520" t="s">
        <v>91</v>
      </c>
      <c r="I18" s="19" t="s">
        <v>905</v>
      </c>
      <c r="J18" s="521" t="s">
        <v>906</v>
      </c>
      <c r="K18" s="368"/>
      <c r="L18" s="524" t="s">
        <v>951</v>
      </c>
      <c r="M18" s="368"/>
      <c r="N18" s="368"/>
      <c r="O18" s="368"/>
      <c r="P18" s="368"/>
    </row>
    <row r="19" s="509" customFormat="1" ht="15.5" spans="1:16">
      <c r="A19" s="34"/>
      <c r="B19" s="34"/>
      <c r="C19" s="34"/>
      <c r="D19" s="523" t="s">
        <v>952</v>
      </c>
      <c r="E19" s="519">
        <v>5</v>
      </c>
      <c r="F19" s="18">
        <v>0</v>
      </c>
      <c r="G19" s="18">
        <v>24</v>
      </c>
      <c r="H19" s="520" t="s">
        <v>91</v>
      </c>
      <c r="I19" s="19" t="s">
        <v>905</v>
      </c>
      <c r="J19" s="521" t="s">
        <v>906</v>
      </c>
      <c r="K19" s="368"/>
      <c r="L19" s="524" t="s">
        <v>931</v>
      </c>
      <c r="M19" s="368"/>
      <c r="N19" s="368"/>
      <c r="O19" s="368"/>
      <c r="P19" s="368"/>
    </row>
    <row r="20" s="509" customFormat="1" ht="15.5" spans="1:16">
      <c r="A20" s="34"/>
      <c r="B20" s="34"/>
      <c r="C20" s="34"/>
      <c r="D20" s="523" t="s">
        <v>953</v>
      </c>
      <c r="E20" s="519">
        <v>8</v>
      </c>
      <c r="F20" s="18">
        <v>0</v>
      </c>
      <c r="G20" s="18">
        <v>8</v>
      </c>
      <c r="H20" s="520" t="s">
        <v>91</v>
      </c>
      <c r="I20" s="19" t="s">
        <v>905</v>
      </c>
      <c r="J20" s="521" t="s">
        <v>906</v>
      </c>
      <c r="K20" s="368"/>
      <c r="L20" s="524" t="s">
        <v>954</v>
      </c>
      <c r="M20" s="368"/>
      <c r="N20" s="368"/>
      <c r="O20" s="368"/>
      <c r="P20" s="368"/>
    </row>
    <row r="21" s="509" customFormat="1" ht="15.5" spans="1:16">
      <c r="A21" s="36"/>
      <c r="B21" s="36"/>
      <c r="C21" s="36"/>
      <c r="D21" s="523" t="s">
        <v>952</v>
      </c>
      <c r="E21" s="519">
        <v>9</v>
      </c>
      <c r="F21" s="18">
        <v>0</v>
      </c>
      <c r="G21" s="18">
        <v>24</v>
      </c>
      <c r="H21" s="520" t="s">
        <v>91</v>
      </c>
      <c r="I21" s="19" t="s">
        <v>905</v>
      </c>
      <c r="J21" s="521" t="s">
        <v>906</v>
      </c>
      <c r="K21" s="370"/>
      <c r="L21" s="524" t="s">
        <v>931</v>
      </c>
      <c r="M21" s="370"/>
      <c r="N21" s="370"/>
      <c r="O21" s="370"/>
      <c r="P21" s="370"/>
    </row>
    <row r="22" s="509" customFormat="1" ht="15.5" spans="1:16">
      <c r="A22" s="31" t="s">
        <v>955</v>
      </c>
      <c r="B22" s="511" t="s">
        <v>956</v>
      </c>
      <c r="C22" s="512" t="s">
        <v>476</v>
      </c>
      <c r="D22" s="511" t="s">
        <v>956</v>
      </c>
      <c r="E22" s="23">
        <v>3</v>
      </c>
      <c r="F22" s="18">
        <v>0</v>
      </c>
      <c r="G22" s="18">
        <v>72</v>
      </c>
      <c r="H22" s="19" t="s">
        <v>91</v>
      </c>
      <c r="I22" s="19" t="s">
        <v>905</v>
      </c>
      <c r="J22" s="19" t="s">
        <v>906</v>
      </c>
      <c r="K22" s="516" t="s">
        <v>957</v>
      </c>
      <c r="L22" s="517" t="s">
        <v>957</v>
      </c>
      <c r="M22" s="514" t="s">
        <v>476</v>
      </c>
      <c r="N22" s="514" t="s">
        <v>909</v>
      </c>
      <c r="O22" s="514" t="s">
        <v>913</v>
      </c>
      <c r="P22" s="514"/>
    </row>
    <row r="23" s="509" customFormat="1" ht="15.5" spans="1:16">
      <c r="A23" s="531" t="s">
        <v>958</v>
      </c>
      <c r="B23" s="532" t="s">
        <v>959</v>
      </c>
      <c r="C23" s="533" t="s">
        <v>467</v>
      </c>
      <c r="D23" s="532" t="s">
        <v>959</v>
      </c>
      <c r="E23" s="534">
        <v>3</v>
      </c>
      <c r="F23" s="534">
        <v>0</v>
      </c>
      <c r="G23" s="534">
        <v>1</v>
      </c>
      <c r="H23" s="535" t="s">
        <v>91</v>
      </c>
      <c r="I23" s="535" t="s">
        <v>905</v>
      </c>
      <c r="J23" s="535" t="s">
        <v>906</v>
      </c>
      <c r="K23" s="536" t="s">
        <v>960</v>
      </c>
      <c r="L23" s="537" t="s">
        <v>960</v>
      </c>
      <c r="M23" s="538" t="s">
        <v>467</v>
      </c>
      <c r="N23" s="538" t="s">
        <v>909</v>
      </c>
      <c r="O23" s="538" t="s">
        <v>910</v>
      </c>
      <c r="P23" s="537" t="s">
        <v>961</v>
      </c>
    </row>
    <row r="24" s="509" customFormat="1" ht="15.5" spans="1:16">
      <c r="A24" s="531" t="s">
        <v>962</v>
      </c>
      <c r="B24" s="532" t="s">
        <v>963</v>
      </c>
      <c r="C24" s="533" t="s">
        <v>467</v>
      </c>
      <c r="D24" s="532" t="s">
        <v>963</v>
      </c>
      <c r="E24" s="534">
        <v>3</v>
      </c>
      <c r="F24" s="534">
        <v>0</v>
      </c>
      <c r="G24" s="534">
        <v>1</v>
      </c>
      <c r="H24" s="535" t="s">
        <v>91</v>
      </c>
      <c r="I24" s="535" t="s">
        <v>905</v>
      </c>
      <c r="J24" s="535" t="s">
        <v>906</v>
      </c>
      <c r="K24" s="536" t="s">
        <v>964</v>
      </c>
      <c r="L24" s="537" t="s">
        <v>964</v>
      </c>
      <c r="M24" s="538" t="s">
        <v>467</v>
      </c>
      <c r="N24" s="538" t="s">
        <v>909</v>
      </c>
      <c r="O24" s="538" t="s">
        <v>910</v>
      </c>
      <c r="P24" s="537" t="s">
        <v>961</v>
      </c>
    </row>
    <row r="25" s="509" customFormat="1" ht="15.5" spans="1:16">
      <c r="A25" s="531" t="s">
        <v>965</v>
      </c>
      <c r="B25" s="532" t="s">
        <v>966</v>
      </c>
      <c r="C25" s="533" t="s">
        <v>467</v>
      </c>
      <c r="D25" s="532" t="s">
        <v>966</v>
      </c>
      <c r="E25" s="534">
        <v>3</v>
      </c>
      <c r="F25" s="534">
        <v>0</v>
      </c>
      <c r="G25" s="534">
        <v>1</v>
      </c>
      <c r="H25" s="535" t="s">
        <v>91</v>
      </c>
      <c r="I25" s="535" t="s">
        <v>905</v>
      </c>
      <c r="J25" s="535" t="s">
        <v>906</v>
      </c>
      <c r="K25" s="536" t="s">
        <v>967</v>
      </c>
      <c r="L25" s="537" t="s">
        <v>967</v>
      </c>
      <c r="M25" s="538" t="s">
        <v>467</v>
      </c>
      <c r="N25" s="538" t="s">
        <v>909</v>
      </c>
      <c r="O25" s="538" t="s">
        <v>910</v>
      </c>
      <c r="P25" s="537" t="s">
        <v>961</v>
      </c>
    </row>
    <row r="26" ht="15.5" spans="1:16">
      <c r="A26" s="44" t="s">
        <v>237</v>
      </c>
      <c r="B26" s="45"/>
      <c r="C26" s="47"/>
      <c r="D26" s="46"/>
      <c r="E26" s="47"/>
      <c r="F26" s="47"/>
      <c r="G26" s="47"/>
      <c r="H26" s="25"/>
      <c r="I26" s="25"/>
      <c r="J26" s="25"/>
      <c r="K26" s="48"/>
      <c r="L26" s="48"/>
      <c r="M26" s="48"/>
      <c r="N26" s="48"/>
      <c r="O26" s="48"/>
      <c r="P26" s="48"/>
    </row>
  </sheetData>
  <mergeCells count="1">
    <mergeCell ref="B1:J1"/>
  </mergeCells>
  <pageMargins left="0.787401575" right="0.787401575" top="0.984251969" bottom="0.984251969" header="0.511805555555556" footer="0.511805555555556"/>
  <pageSetup paperSize="9" scale="30" firstPageNumber="0" orientation="portrait" useFirstPageNumber="1" horizontalDpi="300" verticalDpi="300"/>
  <headerFooter alignWithMargins="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Q3"/>
  <sheetViews>
    <sheetView zoomScale="85" zoomScaleNormal="85" workbookViewId="0">
      <pane ySplit="2" topLeftCell="A3" activePane="bottomLeft" state="frozen"/>
      <selection/>
      <selection pane="bottomLeft" activeCell="J3" sqref="J3"/>
    </sheetView>
  </sheetViews>
  <sheetFormatPr defaultColWidth="8" defaultRowHeight="12.5" outlineLevelRow="2"/>
  <cols>
    <col min="1" max="1" width="15.3636363636364" style="493" customWidth="1"/>
    <col min="2" max="2" width="15.9090909090909" style="494" customWidth="1"/>
    <col min="3" max="3" width="21.9090909090909" style="494" customWidth="1"/>
    <col min="4" max="4" width="14.0909090909091" style="495" customWidth="1"/>
    <col min="5" max="5" width="23.3636363636364" style="494" customWidth="1"/>
    <col min="6" max="6" width="15.4545454545455" style="496" customWidth="1"/>
    <col min="7" max="7" width="6.45454545454545" style="496" customWidth="1"/>
    <col min="8" max="8" width="9" style="496" customWidth="1"/>
    <col min="9" max="9" width="20.0909090909091" style="494" customWidth="1"/>
    <col min="10" max="10" width="18.0909090909091" style="494" customWidth="1"/>
    <col min="11" max="11" width="8" style="494" customWidth="1"/>
    <col min="12" max="12" width="18.7272727272727" style="494" customWidth="1"/>
    <col min="13" max="13" width="16" style="494" customWidth="1"/>
    <col min="14" max="14" width="25.4545454545455" style="494" customWidth="1"/>
    <col min="15" max="15" width="20.0909090909091" style="494" customWidth="1"/>
    <col min="16" max="16384" width="8" style="494"/>
  </cols>
  <sheetData>
    <row r="1" s="1" customFormat="1" ht="15.5" spans="1:17">
      <c r="A1" s="497"/>
      <c r="B1" s="6"/>
      <c r="C1" s="6"/>
      <c r="D1" s="7"/>
      <c r="E1" s="7"/>
      <c r="F1" s="7"/>
      <c r="G1" s="7"/>
      <c r="H1" s="7"/>
      <c r="I1" s="6"/>
      <c r="J1" s="6"/>
      <c r="K1" s="6"/>
      <c r="L1" s="8"/>
      <c r="M1" s="8"/>
      <c r="N1" s="8"/>
      <c r="O1" s="8"/>
      <c r="P1" s="8"/>
      <c r="Q1" s="8"/>
    </row>
    <row r="2" s="491" customFormat="1" ht="15.5" spans="1:17">
      <c r="A2" s="498" t="s">
        <v>968</v>
      </c>
      <c r="B2" s="499" t="s">
        <v>889</v>
      </c>
      <c r="C2" s="499" t="s">
        <v>890</v>
      </c>
      <c r="D2" s="500" t="s">
        <v>969</v>
      </c>
      <c r="E2" s="499" t="s">
        <v>892</v>
      </c>
      <c r="F2" s="501" t="s">
        <v>893</v>
      </c>
      <c r="G2" s="501" t="s">
        <v>894</v>
      </c>
      <c r="H2" s="501" t="s">
        <v>895</v>
      </c>
      <c r="I2" s="12" t="s">
        <v>89</v>
      </c>
      <c r="J2" s="12" t="s">
        <v>90</v>
      </c>
      <c r="K2" s="502" t="s">
        <v>897</v>
      </c>
      <c r="L2" s="345" t="s">
        <v>970</v>
      </c>
      <c r="M2" s="345" t="s">
        <v>971</v>
      </c>
      <c r="N2" s="345" t="s">
        <v>972</v>
      </c>
      <c r="O2" s="502" t="s">
        <v>903</v>
      </c>
    </row>
    <row r="3" s="492" customFormat="1" ht="15.5" spans="1:17">
      <c r="A3" s="503" t="s">
        <v>237</v>
      </c>
      <c r="B3" s="504"/>
      <c r="C3" s="504"/>
      <c r="D3" s="504"/>
      <c r="E3" s="504"/>
      <c r="F3" s="505"/>
      <c r="G3" s="506"/>
      <c r="H3" s="506"/>
      <c r="I3" s="504"/>
      <c r="J3" s="504"/>
      <c r="K3" s="507"/>
      <c r="L3" s="508"/>
      <c r="M3" s="334"/>
      <c r="N3" s="334"/>
      <c r="O3" s="334"/>
    </row>
  </sheetData>
  <mergeCells count="1">
    <mergeCell ref="B1:K1"/>
  </mergeCells>
  <pageMargins left="0.787401575" right="0.787401575" top="0.984251969" bottom="0.984251969" header="0.511805555555556" footer="0.511805555555556"/>
  <pageSetup paperSize="9" scale="32" firstPageNumber="0" orientation="portrait" useFirstPageNumber="1" horizontalDpi="300" verticalDpi="3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autoPageBreaks="0"/>
  </sheetPr>
  <dimension ref="A1:AT63"/>
  <sheetViews>
    <sheetView tabSelected="1" zoomScale="80" zoomScaleNormal="80" workbookViewId="0">
      <pane xSplit="5" ySplit="6" topLeftCell="Y55" activePane="bottomRight" state="frozen"/>
      <selection/>
      <selection pane="topRight"/>
      <selection pane="bottomLeft"/>
      <selection pane="bottomRight" activeCell="AC67" sqref="AC67"/>
    </sheetView>
  </sheetViews>
  <sheetFormatPr defaultColWidth="9" defaultRowHeight="13"/>
  <cols>
    <col min="1" max="1" width="5.90909090909091" style="379" customWidth="1"/>
    <col min="2" max="2" width="12.6363636363636" style="379" customWidth="1"/>
    <col min="3" max="4" width="26.0909090909091" style="379" customWidth="1"/>
    <col min="5" max="5" width="8.90909090909091" style="379" customWidth="1"/>
    <col min="6" max="6" width="15.0909090909091" style="380" customWidth="1"/>
    <col min="7" max="7" width="26.5454545454545" style="379" customWidth="1"/>
    <col min="8" max="8" width="9.90909090909091" style="379" customWidth="1"/>
    <col min="9" max="9" width="7" style="379" customWidth="1"/>
    <col min="10" max="10" width="6.90909090909091" style="379" customWidth="1"/>
    <col min="11" max="11" width="6.09090909090909" style="379" customWidth="1"/>
    <col min="12" max="12" width="24.5454545454545" style="379" customWidth="1"/>
    <col min="13" max="13" width="20" style="379" customWidth="1"/>
    <col min="14" max="14" width="15.6363636363636" style="379" customWidth="1"/>
    <col min="15" max="15" width="14.9090909090909" style="379" customWidth="1"/>
    <col min="16" max="16" width="11.7272727272727" style="379" customWidth="1"/>
    <col min="17" max="17" width="24.6363636363636" style="379" customWidth="1"/>
    <col min="18" max="18" width="17.4545454545455" style="379" customWidth="1"/>
    <col min="19" max="19" width="15.9090909090909" style="379" customWidth="1"/>
    <col min="20" max="20" width="9" style="379" customWidth="1"/>
    <col min="21" max="21" width="7" style="379" customWidth="1"/>
    <col min="22" max="23" width="6.09090909090909" style="379" customWidth="1"/>
    <col min="24" max="24" width="19.0909090909091" style="379" customWidth="1"/>
    <col min="25" max="25" width="20" style="379" customWidth="1"/>
    <col min="26" max="26" width="15.6363636363636" style="379" customWidth="1"/>
    <col min="27" max="27" width="14.9090909090909" style="379" customWidth="1"/>
    <col min="28" max="28" width="10.0909090909091" style="379" customWidth="1"/>
    <col min="29" max="29" width="31" style="376" customWidth="1"/>
    <col min="30" max="30" width="17.4545454545455" style="376" customWidth="1"/>
    <col min="31" max="31" width="15.9090909090909" style="379" customWidth="1"/>
    <col min="32" max="32" width="9" style="379" customWidth="1"/>
    <col min="33" max="38" width="8.45454545454546" style="379" customWidth="1"/>
    <col min="39" max="40" width="7" style="379" customWidth="1"/>
    <col min="41" max="41" width="8.72727272727273" style="379" customWidth="1"/>
    <col min="42" max="42" width="9.09090909090909" style="379" customWidth="1"/>
    <col min="43" max="43" width="9.45454545454546" style="379" customWidth="1"/>
    <col min="44" max="44" width="9.36363636363636" style="379" customWidth="1"/>
    <col min="45" max="45" width="20.7272727272727" style="379" customWidth="1"/>
    <col min="46" max="46" width="36.4545454545455" style="379" customWidth="1"/>
    <col min="47" max="16384" width="9" style="379"/>
  </cols>
  <sheetData>
    <row r="1" ht="14.5" customHeight="1" spans="1:46">
      <c r="A1" s="381" t="s">
        <v>973</v>
      </c>
      <c r="B1" s="381"/>
      <c r="C1" s="381"/>
      <c r="D1" s="381"/>
      <c r="E1" s="381"/>
      <c r="F1" s="381"/>
      <c r="G1" s="381"/>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c r="AG1" s="382"/>
      <c r="AH1" s="382"/>
      <c r="AI1" s="382"/>
      <c r="AJ1" s="382"/>
      <c r="AK1" s="382"/>
      <c r="AL1" s="382"/>
      <c r="AM1" s="382"/>
      <c r="AN1" s="382"/>
      <c r="AO1" s="382"/>
      <c r="AP1" s="382"/>
      <c r="AQ1" s="382"/>
      <c r="AR1" s="382"/>
      <c r="AS1" s="382"/>
      <c r="AT1" s="382"/>
    </row>
    <row r="2" spans="1:46">
      <c r="A2" s="381"/>
      <c r="B2" s="381"/>
      <c r="C2" s="381"/>
      <c r="D2" s="381"/>
      <c r="E2" s="381"/>
      <c r="F2" s="381"/>
      <c r="G2" s="381"/>
      <c r="H2" s="383"/>
      <c r="I2" s="383"/>
      <c r="J2" s="383"/>
      <c r="K2" s="383"/>
      <c r="L2" s="383"/>
      <c r="M2" s="383"/>
      <c r="N2" s="383"/>
      <c r="O2" s="383"/>
      <c r="P2" s="383"/>
      <c r="Q2" s="383"/>
      <c r="R2" s="383"/>
      <c r="S2" s="383"/>
      <c r="T2" s="383"/>
      <c r="U2" s="383"/>
      <c r="V2" s="383"/>
      <c r="W2" s="383"/>
      <c r="X2" s="383"/>
      <c r="Y2" s="383"/>
      <c r="Z2" s="383"/>
      <c r="AA2" s="383"/>
      <c r="AB2" s="383"/>
      <c r="AC2" s="384"/>
      <c r="AD2" s="384"/>
      <c r="AE2" s="383"/>
      <c r="AF2" s="383"/>
      <c r="AG2" s="383"/>
      <c r="AH2" s="383"/>
      <c r="AI2" s="383"/>
      <c r="AJ2" s="383"/>
      <c r="AK2" s="383"/>
      <c r="AL2" s="383"/>
      <c r="AM2" s="383"/>
      <c r="AN2" s="383"/>
      <c r="AO2" s="383"/>
      <c r="AP2" s="383"/>
      <c r="AQ2" s="383"/>
      <c r="AR2" s="383"/>
      <c r="AS2" s="383"/>
      <c r="AT2" s="383"/>
    </row>
    <row r="3" ht="47.15" customHeight="1" spans="1:46">
      <c r="A3" s="381"/>
      <c r="B3" s="381"/>
      <c r="C3" s="381"/>
      <c r="D3" s="381"/>
      <c r="E3" s="381"/>
      <c r="F3" s="381"/>
      <c r="G3" s="381"/>
      <c r="H3" s="382"/>
      <c r="I3" s="382"/>
      <c r="J3" s="382"/>
      <c r="K3" s="382"/>
      <c r="L3" s="382"/>
      <c r="M3" s="382"/>
      <c r="N3" s="382"/>
      <c r="O3" s="382"/>
      <c r="P3" s="382"/>
      <c r="Q3" s="382"/>
      <c r="R3" s="382"/>
      <c r="S3" s="382"/>
      <c r="T3" s="382"/>
      <c r="U3" s="382"/>
      <c r="V3" s="382"/>
      <c r="W3" s="382"/>
      <c r="X3" s="382"/>
      <c r="Y3" s="382"/>
      <c r="Z3" s="382"/>
      <c r="AA3" s="382"/>
      <c r="AB3" s="382"/>
      <c r="AC3" s="382"/>
      <c r="AD3" s="382"/>
      <c r="AE3" s="382"/>
      <c r="AF3" s="382"/>
      <c r="AG3" s="382"/>
      <c r="AH3" s="382"/>
      <c r="AI3" s="382"/>
      <c r="AJ3" s="382"/>
      <c r="AK3" s="382"/>
      <c r="AL3" s="382"/>
      <c r="AM3" s="382"/>
      <c r="AN3" s="382"/>
      <c r="AO3" s="382"/>
      <c r="AP3" s="382"/>
      <c r="AQ3" s="382"/>
      <c r="AR3" s="382"/>
      <c r="AS3" s="382"/>
      <c r="AT3" s="382"/>
    </row>
    <row r="4" s="376" customFormat="1" ht="33" customHeight="1" spans="1:46">
      <c r="A4" s="385" t="s">
        <v>437</v>
      </c>
      <c r="B4" s="386" t="s">
        <v>974</v>
      </c>
      <c r="C4" s="386" t="s">
        <v>975</v>
      </c>
      <c r="D4" s="386" t="s">
        <v>976</v>
      </c>
      <c r="E4" s="387" t="s">
        <v>251</v>
      </c>
      <c r="F4" s="388" t="s">
        <v>252</v>
      </c>
      <c r="G4" s="389" t="s">
        <v>977</v>
      </c>
      <c r="H4" s="386" t="s">
        <v>978</v>
      </c>
      <c r="I4" s="390" t="s">
        <v>979</v>
      </c>
      <c r="J4" s="390"/>
      <c r="K4" s="390"/>
      <c r="L4" s="390"/>
      <c r="M4" s="390"/>
      <c r="N4" s="390"/>
      <c r="O4" s="390"/>
      <c r="P4" s="390"/>
      <c r="Q4" s="390"/>
      <c r="R4" s="390"/>
      <c r="S4" s="390"/>
      <c r="T4" s="390"/>
      <c r="U4" s="390" t="s">
        <v>980</v>
      </c>
      <c r="V4" s="390"/>
      <c r="W4" s="390"/>
      <c r="X4" s="390"/>
      <c r="Y4" s="390"/>
      <c r="Z4" s="390"/>
      <c r="AA4" s="390"/>
      <c r="AB4" s="390"/>
      <c r="AC4" s="390"/>
      <c r="AD4" s="390"/>
      <c r="AE4" s="390"/>
      <c r="AF4" s="390"/>
      <c r="AG4" s="391" t="s">
        <v>460</v>
      </c>
      <c r="AH4" s="391"/>
      <c r="AI4" s="391"/>
      <c r="AJ4" s="391" t="s">
        <v>461</v>
      </c>
      <c r="AK4" s="391"/>
      <c r="AL4" s="391"/>
      <c r="AM4" s="392" t="s">
        <v>981</v>
      </c>
      <c r="AN4" s="392"/>
      <c r="AO4" s="392"/>
      <c r="AP4" s="392" t="s">
        <v>457</v>
      </c>
      <c r="AQ4" s="392" t="s">
        <v>458</v>
      </c>
      <c r="AR4" s="392" t="s">
        <v>982</v>
      </c>
      <c r="AS4" s="386" t="s">
        <v>983</v>
      </c>
      <c r="AT4" s="393" t="s">
        <v>873</v>
      </c>
    </row>
    <row r="5" s="376" customFormat="1" ht="28.4" customHeight="1" spans="1:46">
      <c r="A5" s="394"/>
      <c r="B5" s="395"/>
      <c r="C5" s="395"/>
      <c r="D5" s="395"/>
      <c r="E5" s="396"/>
      <c r="F5" s="397"/>
      <c r="G5" s="398"/>
      <c r="H5" s="395"/>
      <c r="I5" s="398" t="s">
        <v>442</v>
      </c>
      <c r="J5" s="398" t="s">
        <v>443</v>
      </c>
      <c r="K5" s="398" t="s">
        <v>444</v>
      </c>
      <c r="L5" s="398" t="s">
        <v>445</v>
      </c>
      <c r="M5" s="398" t="s">
        <v>446</v>
      </c>
      <c r="N5" s="399" t="s">
        <v>447</v>
      </c>
      <c r="O5" s="399" t="s">
        <v>448</v>
      </c>
      <c r="P5" s="399" t="s">
        <v>449</v>
      </c>
      <c r="Q5" s="399" t="s">
        <v>450</v>
      </c>
      <c r="R5" s="399" t="s">
        <v>451</v>
      </c>
      <c r="S5" s="399" t="s">
        <v>452</v>
      </c>
      <c r="T5" s="398" t="s">
        <v>874</v>
      </c>
      <c r="U5" s="398" t="s">
        <v>442</v>
      </c>
      <c r="V5" s="398" t="s">
        <v>443</v>
      </c>
      <c r="W5" s="398" t="s">
        <v>444</v>
      </c>
      <c r="X5" s="398" t="s">
        <v>445</v>
      </c>
      <c r="Y5" s="398" t="s">
        <v>446</v>
      </c>
      <c r="Z5" s="399" t="s">
        <v>447</v>
      </c>
      <c r="AA5" s="399" t="s">
        <v>448</v>
      </c>
      <c r="AB5" s="399" t="s">
        <v>449</v>
      </c>
      <c r="AC5" s="399" t="s">
        <v>450</v>
      </c>
      <c r="AD5" s="399" t="s">
        <v>451</v>
      </c>
      <c r="AE5" s="399" t="s">
        <v>452</v>
      </c>
      <c r="AF5" s="398" t="s">
        <v>874</v>
      </c>
      <c r="AG5" s="400"/>
      <c r="AH5" s="400"/>
      <c r="AI5" s="400"/>
      <c r="AJ5" s="400"/>
      <c r="AK5" s="400"/>
      <c r="AL5" s="400"/>
      <c r="AM5" s="401"/>
      <c r="AN5" s="401"/>
      <c r="AO5" s="401"/>
      <c r="AP5" s="401"/>
      <c r="AQ5" s="401"/>
      <c r="AR5" s="401"/>
      <c r="AS5" s="395"/>
      <c r="AT5" s="402"/>
    </row>
    <row r="6" s="376" customFormat="1" ht="71" customHeight="1" spans="1:46">
      <c r="A6" s="394"/>
      <c r="B6" s="395"/>
      <c r="C6" s="395"/>
      <c r="D6" s="395"/>
      <c r="E6" s="396"/>
      <c r="F6" s="397"/>
      <c r="G6" s="398"/>
      <c r="H6" s="395"/>
      <c r="I6" s="398"/>
      <c r="J6" s="398"/>
      <c r="K6" s="398"/>
      <c r="L6" s="398"/>
      <c r="M6" s="398"/>
      <c r="N6" s="399"/>
      <c r="O6" s="399"/>
      <c r="P6" s="399"/>
      <c r="Q6" s="399"/>
      <c r="R6" s="399"/>
      <c r="S6" s="399"/>
      <c r="T6" s="398"/>
      <c r="U6" s="398"/>
      <c r="V6" s="398"/>
      <c r="W6" s="398"/>
      <c r="X6" s="398"/>
      <c r="Y6" s="398"/>
      <c r="Z6" s="399"/>
      <c r="AA6" s="399"/>
      <c r="AB6" s="399"/>
      <c r="AC6" s="399"/>
      <c r="AD6" s="399"/>
      <c r="AE6" s="399"/>
      <c r="AF6" s="398"/>
      <c r="AG6" s="403" t="s">
        <v>257</v>
      </c>
      <c r="AH6" s="403" t="s">
        <v>398</v>
      </c>
      <c r="AI6" s="403" t="s">
        <v>258</v>
      </c>
      <c r="AJ6" s="403" t="s">
        <v>257</v>
      </c>
      <c r="AK6" s="403" t="s">
        <v>398</v>
      </c>
      <c r="AL6" s="403" t="s">
        <v>258</v>
      </c>
      <c r="AM6" s="404" t="s">
        <v>463</v>
      </c>
      <c r="AN6" s="404" t="s">
        <v>260</v>
      </c>
      <c r="AO6" s="404" t="s">
        <v>399</v>
      </c>
      <c r="AP6" s="401"/>
      <c r="AQ6" s="401"/>
      <c r="AR6" s="401"/>
      <c r="AS6" s="395"/>
      <c r="AT6" s="402"/>
    </row>
    <row r="7" ht="130" spans="1:46">
      <c r="A7" s="405">
        <v>1</v>
      </c>
      <c r="B7" s="406" t="s">
        <v>984</v>
      </c>
      <c r="C7" s="406" t="s">
        <v>985</v>
      </c>
      <c r="D7" s="406" t="s">
        <v>986</v>
      </c>
      <c r="E7" s="406" t="s">
        <v>265</v>
      </c>
      <c r="F7" s="407" t="s">
        <v>266</v>
      </c>
      <c r="G7" s="408" t="s">
        <v>987</v>
      </c>
      <c r="H7" s="408" t="s">
        <v>266</v>
      </c>
      <c r="I7" s="406" t="s">
        <v>193</v>
      </c>
      <c r="J7" s="406" t="s">
        <v>193</v>
      </c>
      <c r="K7" s="406" t="s">
        <v>193</v>
      </c>
      <c r="L7" s="406" t="s">
        <v>985</v>
      </c>
      <c r="M7" s="406" t="s">
        <v>986</v>
      </c>
      <c r="N7" s="406" t="s">
        <v>193</v>
      </c>
      <c r="O7" s="406" t="s">
        <v>193</v>
      </c>
      <c r="P7" s="409" t="s">
        <v>470</v>
      </c>
      <c r="Q7" s="410" t="s">
        <v>988</v>
      </c>
      <c r="R7" s="410" t="s">
        <v>989</v>
      </c>
      <c r="S7" s="406" t="s">
        <v>193</v>
      </c>
      <c r="T7" s="406" t="s">
        <v>193</v>
      </c>
      <c r="U7" s="406">
        <v>1</v>
      </c>
      <c r="V7" s="406">
        <v>0</v>
      </c>
      <c r="W7" s="406" t="s">
        <v>469</v>
      </c>
      <c r="X7" s="406" t="s">
        <v>193</v>
      </c>
      <c r="Y7" s="406" t="s">
        <v>193</v>
      </c>
      <c r="Z7" s="406" t="s">
        <v>193</v>
      </c>
      <c r="AA7" s="406" t="s">
        <v>193</v>
      </c>
      <c r="AB7" s="409" t="s">
        <v>470</v>
      </c>
      <c r="AC7" s="406" t="s">
        <v>990</v>
      </c>
      <c r="AD7" s="406" t="s">
        <v>991</v>
      </c>
      <c r="AE7" s="406" t="s">
        <v>193</v>
      </c>
      <c r="AF7" s="411" t="s">
        <v>604</v>
      </c>
      <c r="AG7" s="412" t="s">
        <v>272</v>
      </c>
      <c r="AH7" s="413" t="s">
        <v>272</v>
      </c>
      <c r="AI7" s="407" t="s">
        <v>266</v>
      </c>
      <c r="AJ7" s="412" t="s">
        <v>272</v>
      </c>
      <c r="AK7" s="412" t="s">
        <v>272</v>
      </c>
      <c r="AL7" s="407" t="s">
        <v>266</v>
      </c>
      <c r="AM7" s="407" t="s">
        <v>266</v>
      </c>
      <c r="AN7" s="407" t="s">
        <v>266</v>
      </c>
      <c r="AO7" s="412" t="s">
        <v>272</v>
      </c>
      <c r="AP7" s="412" t="s">
        <v>266</v>
      </c>
      <c r="AQ7" s="412" t="s">
        <v>266</v>
      </c>
      <c r="AR7" s="414" t="s">
        <v>992</v>
      </c>
      <c r="AS7" s="406" t="s">
        <v>193</v>
      </c>
      <c r="AT7" s="415" t="s">
        <v>993</v>
      </c>
    </row>
    <row r="8" ht="12" customHeight="1" spans="1:46">
      <c r="A8" s="405"/>
      <c r="B8" s="406"/>
      <c r="C8" s="406"/>
      <c r="D8" s="406"/>
      <c r="E8" s="406"/>
      <c r="F8" s="407"/>
      <c r="G8" s="406" t="s">
        <v>994</v>
      </c>
      <c r="H8" s="408" t="s">
        <v>272</v>
      </c>
      <c r="I8" s="406" t="s">
        <v>193</v>
      </c>
      <c r="J8" s="406" t="s">
        <v>193</v>
      </c>
      <c r="K8" s="406" t="s">
        <v>193</v>
      </c>
      <c r="L8" s="406" t="s">
        <v>193</v>
      </c>
      <c r="M8" s="406" t="s">
        <v>193</v>
      </c>
      <c r="N8" s="406" t="s">
        <v>193</v>
      </c>
      <c r="O8" s="406" t="s">
        <v>193</v>
      </c>
      <c r="P8" s="409" t="s">
        <v>470</v>
      </c>
      <c r="Q8" s="406" t="s">
        <v>193</v>
      </c>
      <c r="R8" s="406" t="s">
        <v>193</v>
      </c>
      <c r="S8" s="406" t="s">
        <v>193</v>
      </c>
      <c r="T8" s="406" t="s">
        <v>193</v>
      </c>
      <c r="U8" s="406" t="s">
        <v>193</v>
      </c>
      <c r="V8" s="406" t="s">
        <v>193</v>
      </c>
      <c r="W8" s="406" t="s">
        <v>193</v>
      </c>
      <c r="X8" s="406" t="s">
        <v>193</v>
      </c>
      <c r="Y8" s="406" t="s">
        <v>193</v>
      </c>
      <c r="Z8" s="406" t="s">
        <v>193</v>
      </c>
      <c r="AA8" s="406" t="s">
        <v>193</v>
      </c>
      <c r="AB8" s="409" t="s">
        <v>470</v>
      </c>
      <c r="AC8" s="406" t="s">
        <v>193</v>
      </c>
      <c r="AD8" s="406" t="s">
        <v>193</v>
      </c>
      <c r="AE8" s="406" t="s">
        <v>193</v>
      </c>
      <c r="AF8" s="406" t="s">
        <v>193</v>
      </c>
      <c r="AG8" s="412"/>
      <c r="AH8" s="413"/>
      <c r="AI8" s="407"/>
      <c r="AJ8" s="412"/>
      <c r="AK8" s="412"/>
      <c r="AL8" s="407"/>
      <c r="AM8" s="407"/>
      <c r="AN8" s="407"/>
      <c r="AO8" s="412"/>
      <c r="AP8" s="412"/>
      <c r="AQ8" s="412"/>
      <c r="AR8" s="414"/>
      <c r="AS8" s="406"/>
      <c r="AT8" s="415"/>
    </row>
    <row r="9" spans="1:46">
      <c r="A9" s="405"/>
      <c r="B9" s="406"/>
      <c r="C9" s="406"/>
      <c r="D9" s="406"/>
      <c r="E9" s="406"/>
      <c r="F9" s="407"/>
      <c r="G9" s="406" t="s">
        <v>995</v>
      </c>
      <c r="H9" s="408" t="s">
        <v>272</v>
      </c>
      <c r="I9" s="406" t="s">
        <v>193</v>
      </c>
      <c r="J9" s="406" t="s">
        <v>193</v>
      </c>
      <c r="K9" s="406" t="s">
        <v>193</v>
      </c>
      <c r="L9" s="406" t="s">
        <v>193</v>
      </c>
      <c r="M9" s="406" t="s">
        <v>193</v>
      </c>
      <c r="N9" s="406" t="s">
        <v>193</v>
      </c>
      <c r="O9" s="406" t="s">
        <v>193</v>
      </c>
      <c r="P9" s="409" t="s">
        <v>470</v>
      </c>
      <c r="Q9" s="406" t="s">
        <v>193</v>
      </c>
      <c r="R9" s="406" t="s">
        <v>193</v>
      </c>
      <c r="S9" s="406" t="s">
        <v>193</v>
      </c>
      <c r="T9" s="406" t="s">
        <v>193</v>
      </c>
      <c r="U9" s="406" t="s">
        <v>193</v>
      </c>
      <c r="V9" s="406" t="s">
        <v>193</v>
      </c>
      <c r="W9" s="406" t="s">
        <v>193</v>
      </c>
      <c r="X9" s="406" t="s">
        <v>193</v>
      </c>
      <c r="Y9" s="406" t="s">
        <v>193</v>
      </c>
      <c r="Z9" s="406" t="s">
        <v>193</v>
      </c>
      <c r="AA9" s="406" t="s">
        <v>193</v>
      </c>
      <c r="AB9" s="409" t="s">
        <v>470</v>
      </c>
      <c r="AC9" s="406" t="s">
        <v>193</v>
      </c>
      <c r="AD9" s="406" t="s">
        <v>193</v>
      </c>
      <c r="AE9" s="406" t="s">
        <v>193</v>
      </c>
      <c r="AF9" s="406" t="s">
        <v>193</v>
      </c>
      <c r="AG9" s="412"/>
      <c r="AH9" s="413"/>
      <c r="AI9" s="407"/>
      <c r="AJ9" s="412"/>
      <c r="AK9" s="412"/>
      <c r="AL9" s="407"/>
      <c r="AM9" s="407"/>
      <c r="AN9" s="407"/>
      <c r="AO9" s="412"/>
      <c r="AP9" s="412"/>
      <c r="AQ9" s="412"/>
      <c r="AR9" s="414"/>
      <c r="AS9" s="406"/>
      <c r="AT9" s="415"/>
    </row>
    <row r="10" ht="26" spans="1:46">
      <c r="A10" s="416">
        <v>2</v>
      </c>
      <c r="B10" s="417" t="s">
        <v>996</v>
      </c>
      <c r="C10" s="417" t="s">
        <v>997</v>
      </c>
      <c r="D10" s="417" t="s">
        <v>998</v>
      </c>
      <c r="E10" s="417" t="s">
        <v>265</v>
      </c>
      <c r="F10" s="418" t="s">
        <v>266</v>
      </c>
      <c r="G10" s="419" t="s">
        <v>987</v>
      </c>
      <c r="H10" s="419" t="s">
        <v>266</v>
      </c>
      <c r="I10" s="419">
        <v>9</v>
      </c>
      <c r="J10" s="406">
        <v>0</v>
      </c>
      <c r="K10" s="406" t="s">
        <v>999</v>
      </c>
      <c r="L10" s="406" t="s">
        <v>1000</v>
      </c>
      <c r="M10" s="406" t="s">
        <v>1001</v>
      </c>
      <c r="N10" s="406" t="s">
        <v>193</v>
      </c>
      <c r="O10" s="406" t="s">
        <v>193</v>
      </c>
      <c r="P10" s="409" t="s">
        <v>470</v>
      </c>
      <c r="Q10" s="406"/>
      <c r="R10" s="406"/>
      <c r="S10" s="406"/>
      <c r="T10" s="411" t="s">
        <v>93</v>
      </c>
      <c r="U10" s="417">
        <v>1</v>
      </c>
      <c r="V10" s="417">
        <v>0</v>
      </c>
      <c r="W10" s="417" t="s">
        <v>469</v>
      </c>
      <c r="X10" s="406"/>
      <c r="Y10" s="406"/>
      <c r="Z10" s="406"/>
      <c r="AA10" s="406"/>
      <c r="AB10" s="420" t="s">
        <v>470</v>
      </c>
      <c r="AC10" s="417" t="s">
        <v>990</v>
      </c>
      <c r="AD10" s="417" t="s">
        <v>991</v>
      </c>
      <c r="AE10" s="417" t="s">
        <v>193</v>
      </c>
      <c r="AF10" s="421" t="s">
        <v>604</v>
      </c>
      <c r="AG10" s="422" t="s">
        <v>272</v>
      </c>
      <c r="AH10" s="423" t="s">
        <v>272</v>
      </c>
      <c r="AI10" s="422" t="s">
        <v>272</v>
      </c>
      <c r="AJ10" s="422" t="s">
        <v>272</v>
      </c>
      <c r="AK10" s="424" t="s">
        <v>266</v>
      </c>
      <c r="AL10" s="422" t="s">
        <v>272</v>
      </c>
      <c r="AM10" s="422" t="s">
        <v>272</v>
      </c>
      <c r="AN10" s="422" t="s">
        <v>272</v>
      </c>
      <c r="AO10" s="424" t="s">
        <v>266</v>
      </c>
      <c r="AP10" s="424" t="s">
        <v>266</v>
      </c>
      <c r="AQ10" s="424" t="s">
        <v>266</v>
      </c>
      <c r="AR10" s="425" t="s">
        <v>193</v>
      </c>
      <c r="AS10" s="417" t="s">
        <v>193</v>
      </c>
      <c r="AT10" s="426" t="s">
        <v>1002</v>
      </c>
    </row>
    <row r="11" ht="47" customHeight="1" spans="1:46">
      <c r="A11" s="427"/>
      <c r="B11" s="428"/>
      <c r="C11" s="428"/>
      <c r="D11" s="428"/>
      <c r="E11" s="428"/>
      <c r="F11" s="429"/>
      <c r="G11" s="430"/>
      <c r="H11" s="430"/>
      <c r="I11" s="430"/>
      <c r="J11" s="431" t="s">
        <v>1003</v>
      </c>
      <c r="K11" s="406" t="s">
        <v>469</v>
      </c>
      <c r="L11" s="406" t="s">
        <v>1004</v>
      </c>
      <c r="M11" s="406" t="s">
        <v>1005</v>
      </c>
      <c r="N11" s="406" t="s">
        <v>193</v>
      </c>
      <c r="O11" s="406" t="s">
        <v>193</v>
      </c>
      <c r="P11" s="409" t="s">
        <v>470</v>
      </c>
      <c r="Q11" s="410" t="s">
        <v>1006</v>
      </c>
      <c r="R11" s="410" t="s">
        <v>1007</v>
      </c>
      <c r="S11" s="406" t="s">
        <v>193</v>
      </c>
      <c r="T11" s="411" t="s">
        <v>93</v>
      </c>
      <c r="U11" s="428"/>
      <c r="V11" s="428"/>
      <c r="W11" s="428"/>
      <c r="X11" s="406" t="s">
        <v>193</v>
      </c>
      <c r="Y11" s="406" t="s">
        <v>193</v>
      </c>
      <c r="Z11" s="406" t="s">
        <v>193</v>
      </c>
      <c r="AA11" s="406" t="s">
        <v>193</v>
      </c>
      <c r="AB11" s="432"/>
      <c r="AC11" s="428"/>
      <c r="AD11" s="428"/>
      <c r="AE11" s="428"/>
      <c r="AF11" s="433"/>
      <c r="AG11" s="434"/>
      <c r="AH11" s="435"/>
      <c r="AI11" s="434"/>
      <c r="AJ11" s="434"/>
      <c r="AK11" s="436"/>
      <c r="AL11" s="434"/>
      <c r="AM11" s="434"/>
      <c r="AN11" s="434"/>
      <c r="AO11" s="436"/>
      <c r="AP11" s="436"/>
      <c r="AQ11" s="436"/>
      <c r="AR11" s="437"/>
      <c r="AS11" s="428"/>
      <c r="AT11" s="438"/>
    </row>
    <row r="12" ht="20.15" customHeight="1" spans="1:46">
      <c r="A12" s="427"/>
      <c r="B12" s="428"/>
      <c r="C12" s="428"/>
      <c r="D12" s="428"/>
      <c r="E12" s="428"/>
      <c r="F12" s="429"/>
      <c r="G12" s="439"/>
      <c r="H12" s="439"/>
      <c r="I12" s="439"/>
      <c r="J12" s="408" t="s">
        <v>1008</v>
      </c>
      <c r="K12" s="408" t="s">
        <v>469</v>
      </c>
      <c r="L12" s="406" t="s">
        <v>1009</v>
      </c>
      <c r="M12" s="406" t="s">
        <v>1010</v>
      </c>
      <c r="N12" s="406" t="s">
        <v>193</v>
      </c>
      <c r="O12" s="406" t="s">
        <v>193</v>
      </c>
      <c r="P12" s="409" t="s">
        <v>470</v>
      </c>
      <c r="Q12" s="410"/>
      <c r="R12" s="410"/>
      <c r="S12" s="406" t="s">
        <v>193</v>
      </c>
      <c r="T12" s="411" t="s">
        <v>93</v>
      </c>
      <c r="U12" s="440"/>
      <c r="V12" s="440"/>
      <c r="W12" s="440"/>
      <c r="X12" s="406"/>
      <c r="Y12" s="406"/>
      <c r="Z12" s="406"/>
      <c r="AA12" s="406"/>
      <c r="AB12" s="441"/>
      <c r="AC12" s="440"/>
      <c r="AD12" s="440"/>
      <c r="AE12" s="440"/>
      <c r="AF12" s="442"/>
      <c r="AG12" s="434"/>
      <c r="AH12" s="435"/>
      <c r="AI12" s="434"/>
      <c r="AJ12" s="434"/>
      <c r="AK12" s="436"/>
      <c r="AL12" s="434"/>
      <c r="AM12" s="434"/>
      <c r="AN12" s="434"/>
      <c r="AO12" s="436"/>
      <c r="AP12" s="436"/>
      <c r="AQ12" s="436"/>
      <c r="AR12" s="437"/>
      <c r="AS12" s="428"/>
      <c r="AT12" s="438"/>
    </row>
    <row r="13" ht="12" customHeight="1" spans="1:46">
      <c r="A13" s="427"/>
      <c r="B13" s="428"/>
      <c r="C13" s="428"/>
      <c r="D13" s="428"/>
      <c r="E13" s="428"/>
      <c r="F13" s="429"/>
      <c r="G13" s="406" t="s">
        <v>994</v>
      </c>
      <c r="H13" s="408" t="s">
        <v>272</v>
      </c>
      <c r="I13" s="406" t="s">
        <v>193</v>
      </c>
      <c r="J13" s="406" t="s">
        <v>193</v>
      </c>
      <c r="K13" s="406" t="s">
        <v>193</v>
      </c>
      <c r="L13" s="406" t="s">
        <v>193</v>
      </c>
      <c r="M13" s="406" t="s">
        <v>193</v>
      </c>
      <c r="N13" s="406" t="s">
        <v>193</v>
      </c>
      <c r="O13" s="406" t="s">
        <v>193</v>
      </c>
      <c r="P13" s="409" t="s">
        <v>470</v>
      </c>
      <c r="Q13" s="410"/>
      <c r="R13" s="410"/>
      <c r="S13" s="406" t="s">
        <v>193</v>
      </c>
      <c r="T13" s="406" t="s">
        <v>193</v>
      </c>
      <c r="U13" s="406" t="s">
        <v>193</v>
      </c>
      <c r="V13" s="406" t="s">
        <v>193</v>
      </c>
      <c r="W13" s="406" t="s">
        <v>193</v>
      </c>
      <c r="X13" s="406" t="s">
        <v>193</v>
      </c>
      <c r="Y13" s="406" t="s">
        <v>193</v>
      </c>
      <c r="Z13" s="406" t="s">
        <v>193</v>
      </c>
      <c r="AA13" s="406" t="s">
        <v>193</v>
      </c>
      <c r="AB13" s="409" t="s">
        <v>470</v>
      </c>
      <c r="AC13" s="406" t="s">
        <v>193</v>
      </c>
      <c r="AD13" s="406" t="s">
        <v>193</v>
      </c>
      <c r="AE13" s="406" t="s">
        <v>193</v>
      </c>
      <c r="AF13" s="406" t="s">
        <v>193</v>
      </c>
      <c r="AG13" s="434"/>
      <c r="AH13" s="435"/>
      <c r="AI13" s="434"/>
      <c r="AJ13" s="434"/>
      <c r="AK13" s="436"/>
      <c r="AL13" s="434"/>
      <c r="AM13" s="434"/>
      <c r="AN13" s="434"/>
      <c r="AO13" s="436"/>
      <c r="AP13" s="436"/>
      <c r="AQ13" s="436"/>
      <c r="AR13" s="437"/>
      <c r="AS13" s="428"/>
      <c r="AT13" s="438"/>
    </row>
    <row r="14" customHeight="1" spans="1:46">
      <c r="A14" s="443"/>
      <c r="B14" s="440"/>
      <c r="C14" s="440"/>
      <c r="D14" s="440"/>
      <c r="E14" s="440"/>
      <c r="F14" s="444"/>
      <c r="G14" s="406" t="s">
        <v>995</v>
      </c>
      <c r="H14" s="408" t="s">
        <v>272</v>
      </c>
      <c r="I14" s="406" t="s">
        <v>193</v>
      </c>
      <c r="J14" s="406" t="s">
        <v>193</v>
      </c>
      <c r="K14" s="406" t="s">
        <v>193</v>
      </c>
      <c r="L14" s="406" t="s">
        <v>193</v>
      </c>
      <c r="M14" s="406" t="s">
        <v>193</v>
      </c>
      <c r="N14" s="406" t="s">
        <v>193</v>
      </c>
      <c r="O14" s="406" t="s">
        <v>193</v>
      </c>
      <c r="P14" s="409" t="s">
        <v>470</v>
      </c>
      <c r="Q14" s="406" t="s">
        <v>193</v>
      </c>
      <c r="R14" s="406" t="s">
        <v>193</v>
      </c>
      <c r="S14" s="406" t="s">
        <v>193</v>
      </c>
      <c r="T14" s="406" t="s">
        <v>193</v>
      </c>
      <c r="U14" s="406" t="s">
        <v>193</v>
      </c>
      <c r="V14" s="406" t="s">
        <v>193</v>
      </c>
      <c r="W14" s="406" t="s">
        <v>193</v>
      </c>
      <c r="X14" s="406" t="s">
        <v>193</v>
      </c>
      <c r="Y14" s="406" t="s">
        <v>193</v>
      </c>
      <c r="Z14" s="406" t="s">
        <v>193</v>
      </c>
      <c r="AA14" s="406" t="s">
        <v>193</v>
      </c>
      <c r="AB14" s="409" t="s">
        <v>470</v>
      </c>
      <c r="AC14" s="406" t="s">
        <v>193</v>
      </c>
      <c r="AD14" s="406" t="s">
        <v>193</v>
      </c>
      <c r="AE14" s="406" t="s">
        <v>193</v>
      </c>
      <c r="AF14" s="406" t="s">
        <v>193</v>
      </c>
      <c r="AG14" s="445"/>
      <c r="AH14" s="446"/>
      <c r="AI14" s="445"/>
      <c r="AJ14" s="445"/>
      <c r="AK14" s="447"/>
      <c r="AL14" s="445"/>
      <c r="AM14" s="445"/>
      <c r="AN14" s="445"/>
      <c r="AO14" s="447"/>
      <c r="AP14" s="447"/>
      <c r="AQ14" s="447"/>
      <c r="AR14" s="448"/>
      <c r="AS14" s="440"/>
      <c r="AT14" s="449"/>
    </row>
    <row r="15" ht="130" spans="1:46">
      <c r="A15" s="405">
        <v>3</v>
      </c>
      <c r="B15" s="406" t="s">
        <v>1011</v>
      </c>
      <c r="C15" s="406" t="s">
        <v>1012</v>
      </c>
      <c r="D15" s="406" t="s">
        <v>1013</v>
      </c>
      <c r="E15" s="406" t="s">
        <v>265</v>
      </c>
      <c r="F15" s="407" t="s">
        <v>266</v>
      </c>
      <c r="G15" s="408" t="s">
        <v>987</v>
      </c>
      <c r="H15" s="408" t="s">
        <v>266</v>
      </c>
      <c r="I15" s="406" t="s">
        <v>193</v>
      </c>
      <c r="J15" s="406" t="s">
        <v>193</v>
      </c>
      <c r="K15" s="406" t="s">
        <v>193</v>
      </c>
      <c r="L15" s="406" t="s">
        <v>1012</v>
      </c>
      <c r="M15" s="406" t="s">
        <v>1013</v>
      </c>
      <c r="N15" s="406" t="s">
        <v>193</v>
      </c>
      <c r="O15" s="406" t="s">
        <v>193</v>
      </c>
      <c r="P15" s="409" t="s">
        <v>470</v>
      </c>
      <c r="Q15" s="410" t="s">
        <v>1014</v>
      </c>
      <c r="R15" s="410" t="s">
        <v>1015</v>
      </c>
      <c r="S15" s="406" t="s">
        <v>193</v>
      </c>
      <c r="T15" s="406" t="s">
        <v>193</v>
      </c>
      <c r="U15" s="406">
        <v>1</v>
      </c>
      <c r="V15" s="406">
        <v>0</v>
      </c>
      <c r="W15" s="406" t="s">
        <v>469</v>
      </c>
      <c r="X15" s="406" t="s">
        <v>193</v>
      </c>
      <c r="Y15" s="406" t="s">
        <v>193</v>
      </c>
      <c r="Z15" s="406" t="s">
        <v>193</v>
      </c>
      <c r="AA15" s="406" t="s">
        <v>193</v>
      </c>
      <c r="AB15" s="409" t="s">
        <v>470</v>
      </c>
      <c r="AC15" s="406" t="s">
        <v>990</v>
      </c>
      <c r="AD15" s="406" t="s">
        <v>991</v>
      </c>
      <c r="AE15" s="406" t="s">
        <v>193</v>
      </c>
      <c r="AF15" s="411" t="s">
        <v>604</v>
      </c>
      <c r="AG15" s="412" t="s">
        <v>272</v>
      </c>
      <c r="AH15" s="413" t="s">
        <v>266</v>
      </c>
      <c r="AI15" s="412" t="s">
        <v>272</v>
      </c>
      <c r="AJ15" s="412" t="s">
        <v>272</v>
      </c>
      <c r="AK15" s="407" t="s">
        <v>266</v>
      </c>
      <c r="AL15" s="412" t="s">
        <v>272</v>
      </c>
      <c r="AM15" s="412" t="s">
        <v>272</v>
      </c>
      <c r="AN15" s="412" t="s">
        <v>272</v>
      </c>
      <c r="AO15" s="407" t="s">
        <v>266</v>
      </c>
      <c r="AP15" s="407" t="s">
        <v>266</v>
      </c>
      <c r="AQ15" s="407" t="s">
        <v>266</v>
      </c>
      <c r="AR15" s="450" t="s">
        <v>193</v>
      </c>
      <c r="AS15" s="406" t="s">
        <v>193</v>
      </c>
      <c r="AT15" s="415" t="s">
        <v>1002</v>
      </c>
    </row>
    <row r="16" ht="12" customHeight="1" spans="1:46">
      <c r="A16" s="405"/>
      <c r="B16" s="406"/>
      <c r="C16" s="406"/>
      <c r="D16" s="406"/>
      <c r="E16" s="406"/>
      <c r="F16" s="407"/>
      <c r="G16" s="406" t="s">
        <v>994</v>
      </c>
      <c r="H16" s="408" t="s">
        <v>272</v>
      </c>
      <c r="I16" s="406" t="s">
        <v>193</v>
      </c>
      <c r="J16" s="406" t="s">
        <v>193</v>
      </c>
      <c r="K16" s="406" t="s">
        <v>193</v>
      </c>
      <c r="L16" s="406" t="s">
        <v>193</v>
      </c>
      <c r="M16" s="406" t="s">
        <v>193</v>
      </c>
      <c r="N16" s="406" t="s">
        <v>193</v>
      </c>
      <c r="O16" s="406" t="s">
        <v>193</v>
      </c>
      <c r="P16" s="409" t="s">
        <v>470</v>
      </c>
      <c r="Q16" s="406" t="s">
        <v>193</v>
      </c>
      <c r="R16" s="406" t="s">
        <v>193</v>
      </c>
      <c r="S16" s="406" t="s">
        <v>193</v>
      </c>
      <c r="T16" s="406" t="s">
        <v>193</v>
      </c>
      <c r="U16" s="406" t="s">
        <v>193</v>
      </c>
      <c r="V16" s="406" t="s">
        <v>193</v>
      </c>
      <c r="W16" s="406" t="s">
        <v>193</v>
      </c>
      <c r="X16" s="406" t="s">
        <v>193</v>
      </c>
      <c r="Y16" s="406" t="s">
        <v>193</v>
      </c>
      <c r="Z16" s="406" t="s">
        <v>193</v>
      </c>
      <c r="AA16" s="406" t="s">
        <v>193</v>
      </c>
      <c r="AB16" s="409" t="s">
        <v>470</v>
      </c>
      <c r="AC16" s="406" t="s">
        <v>193</v>
      </c>
      <c r="AD16" s="406" t="s">
        <v>193</v>
      </c>
      <c r="AE16" s="406" t="s">
        <v>193</v>
      </c>
      <c r="AF16" s="406" t="s">
        <v>193</v>
      </c>
      <c r="AG16" s="412"/>
      <c r="AH16" s="413"/>
      <c r="AI16" s="412"/>
      <c r="AJ16" s="412"/>
      <c r="AK16" s="407"/>
      <c r="AL16" s="412"/>
      <c r="AM16" s="412"/>
      <c r="AN16" s="412"/>
      <c r="AO16" s="407"/>
      <c r="AP16" s="407"/>
      <c r="AQ16" s="407"/>
      <c r="AR16" s="450"/>
      <c r="AS16" s="406"/>
      <c r="AT16" s="415"/>
    </row>
    <row r="17" spans="1:46">
      <c r="A17" s="405"/>
      <c r="B17" s="406"/>
      <c r="C17" s="406"/>
      <c r="D17" s="406"/>
      <c r="E17" s="406"/>
      <c r="F17" s="407"/>
      <c r="G17" s="406" t="s">
        <v>995</v>
      </c>
      <c r="H17" s="408" t="s">
        <v>272</v>
      </c>
      <c r="I17" s="406" t="s">
        <v>193</v>
      </c>
      <c r="J17" s="406" t="s">
        <v>193</v>
      </c>
      <c r="K17" s="406" t="s">
        <v>193</v>
      </c>
      <c r="L17" s="406" t="s">
        <v>193</v>
      </c>
      <c r="M17" s="406" t="s">
        <v>193</v>
      </c>
      <c r="N17" s="406" t="s">
        <v>193</v>
      </c>
      <c r="O17" s="406" t="s">
        <v>193</v>
      </c>
      <c r="P17" s="409" t="s">
        <v>470</v>
      </c>
      <c r="Q17" s="406" t="s">
        <v>193</v>
      </c>
      <c r="R17" s="406" t="s">
        <v>193</v>
      </c>
      <c r="S17" s="406" t="s">
        <v>193</v>
      </c>
      <c r="T17" s="406" t="s">
        <v>193</v>
      </c>
      <c r="U17" s="406" t="s">
        <v>193</v>
      </c>
      <c r="V17" s="406" t="s">
        <v>193</v>
      </c>
      <c r="W17" s="406" t="s">
        <v>193</v>
      </c>
      <c r="X17" s="406" t="s">
        <v>193</v>
      </c>
      <c r="Y17" s="406" t="s">
        <v>193</v>
      </c>
      <c r="Z17" s="406" t="s">
        <v>193</v>
      </c>
      <c r="AA17" s="406" t="s">
        <v>193</v>
      </c>
      <c r="AB17" s="409" t="s">
        <v>470</v>
      </c>
      <c r="AC17" s="406" t="s">
        <v>193</v>
      </c>
      <c r="AD17" s="406" t="s">
        <v>193</v>
      </c>
      <c r="AE17" s="406" t="s">
        <v>193</v>
      </c>
      <c r="AF17" s="406" t="s">
        <v>193</v>
      </c>
      <c r="AG17" s="412"/>
      <c r="AH17" s="413"/>
      <c r="AI17" s="412"/>
      <c r="AJ17" s="412"/>
      <c r="AK17" s="407"/>
      <c r="AL17" s="412"/>
      <c r="AM17" s="412"/>
      <c r="AN17" s="412"/>
      <c r="AO17" s="407"/>
      <c r="AP17" s="407"/>
      <c r="AQ17" s="407"/>
      <c r="AR17" s="450"/>
      <c r="AS17" s="406"/>
      <c r="AT17" s="415"/>
    </row>
    <row r="18" ht="39" spans="1:46">
      <c r="A18" s="405">
        <v>4</v>
      </c>
      <c r="B18" s="451" t="s">
        <v>1016</v>
      </c>
      <c r="C18" s="451" t="s">
        <v>1017</v>
      </c>
      <c r="D18" s="406" t="s">
        <v>1018</v>
      </c>
      <c r="E18" s="451" t="s">
        <v>265</v>
      </c>
      <c r="F18" s="407" t="s">
        <v>266</v>
      </c>
      <c r="G18" s="408" t="s">
        <v>987</v>
      </c>
      <c r="H18" s="408" t="s">
        <v>266</v>
      </c>
      <c r="I18" s="406" t="s">
        <v>193</v>
      </c>
      <c r="J18" s="406" t="s">
        <v>193</v>
      </c>
      <c r="K18" s="406" t="s">
        <v>193</v>
      </c>
      <c r="L18" s="406" t="s">
        <v>1017</v>
      </c>
      <c r="M18" s="406" t="s">
        <v>1018</v>
      </c>
      <c r="N18" s="406" t="s">
        <v>193</v>
      </c>
      <c r="O18" s="406" t="s">
        <v>193</v>
      </c>
      <c r="P18" s="409" t="s">
        <v>470</v>
      </c>
      <c r="Q18" s="406" t="s">
        <v>193</v>
      </c>
      <c r="R18" s="406" t="s">
        <v>193</v>
      </c>
      <c r="S18" s="406" t="s">
        <v>193</v>
      </c>
      <c r="T18" s="406" t="s">
        <v>193</v>
      </c>
      <c r="U18" s="406">
        <v>0</v>
      </c>
      <c r="V18" s="406" t="s">
        <v>469</v>
      </c>
      <c r="W18" s="406" t="s">
        <v>469</v>
      </c>
      <c r="X18" s="406" t="s">
        <v>193</v>
      </c>
      <c r="Y18" s="406" t="s">
        <v>193</v>
      </c>
      <c r="Z18" s="406" t="s">
        <v>193</v>
      </c>
      <c r="AA18" s="406" t="s">
        <v>193</v>
      </c>
      <c r="AB18" s="409" t="s">
        <v>470</v>
      </c>
      <c r="AC18" s="406" t="s">
        <v>990</v>
      </c>
      <c r="AD18" s="406" t="s">
        <v>991</v>
      </c>
      <c r="AE18" s="406" t="s">
        <v>193</v>
      </c>
      <c r="AF18" s="411" t="s">
        <v>604</v>
      </c>
      <c r="AG18" s="412" t="s">
        <v>272</v>
      </c>
      <c r="AH18" s="413" t="s">
        <v>272</v>
      </c>
      <c r="AI18" s="412" t="s">
        <v>272</v>
      </c>
      <c r="AJ18" s="407" t="s">
        <v>266</v>
      </c>
      <c r="AK18" s="412" t="s">
        <v>272</v>
      </c>
      <c r="AL18" s="412" t="s">
        <v>272</v>
      </c>
      <c r="AM18" s="407" t="s">
        <v>266</v>
      </c>
      <c r="AN18" s="412" t="s">
        <v>272</v>
      </c>
      <c r="AO18" s="412" t="s">
        <v>272</v>
      </c>
      <c r="AP18" s="452" t="s">
        <v>266</v>
      </c>
      <c r="AQ18" s="452" t="s">
        <v>266</v>
      </c>
      <c r="AR18" s="450" t="s">
        <v>193</v>
      </c>
      <c r="AS18" s="406" t="s">
        <v>193</v>
      </c>
      <c r="AT18" s="415" t="s">
        <v>1002</v>
      </c>
    </row>
    <row r="19" ht="12" customHeight="1" spans="1:46">
      <c r="A19" s="405"/>
      <c r="B19" s="451"/>
      <c r="C19" s="451"/>
      <c r="D19" s="406"/>
      <c r="E19" s="451"/>
      <c r="F19" s="407"/>
      <c r="G19" s="406" t="s">
        <v>994</v>
      </c>
      <c r="H19" s="408" t="s">
        <v>272</v>
      </c>
      <c r="I19" s="406" t="s">
        <v>193</v>
      </c>
      <c r="J19" s="406" t="s">
        <v>193</v>
      </c>
      <c r="K19" s="406" t="s">
        <v>193</v>
      </c>
      <c r="L19" s="406" t="s">
        <v>193</v>
      </c>
      <c r="M19" s="406" t="s">
        <v>193</v>
      </c>
      <c r="N19" s="406" t="s">
        <v>193</v>
      </c>
      <c r="O19" s="406" t="s">
        <v>193</v>
      </c>
      <c r="P19" s="409" t="s">
        <v>470</v>
      </c>
      <c r="Q19" s="406" t="s">
        <v>193</v>
      </c>
      <c r="R19" s="406" t="s">
        <v>193</v>
      </c>
      <c r="S19" s="406" t="s">
        <v>193</v>
      </c>
      <c r="T19" s="406" t="s">
        <v>193</v>
      </c>
      <c r="U19" s="406" t="s">
        <v>193</v>
      </c>
      <c r="V19" s="406" t="s">
        <v>193</v>
      </c>
      <c r="W19" s="406" t="s">
        <v>193</v>
      </c>
      <c r="X19" s="406" t="s">
        <v>193</v>
      </c>
      <c r="Y19" s="406" t="s">
        <v>193</v>
      </c>
      <c r="Z19" s="406" t="s">
        <v>193</v>
      </c>
      <c r="AA19" s="406" t="s">
        <v>193</v>
      </c>
      <c r="AB19" s="409" t="s">
        <v>470</v>
      </c>
      <c r="AC19" s="406" t="s">
        <v>193</v>
      </c>
      <c r="AD19" s="406" t="s">
        <v>193</v>
      </c>
      <c r="AE19" s="406" t="s">
        <v>193</v>
      </c>
      <c r="AF19" s="406" t="s">
        <v>193</v>
      </c>
      <c r="AG19" s="412"/>
      <c r="AH19" s="413"/>
      <c r="AI19" s="412"/>
      <c r="AJ19" s="407"/>
      <c r="AK19" s="412"/>
      <c r="AL19" s="412"/>
      <c r="AM19" s="407"/>
      <c r="AN19" s="412"/>
      <c r="AO19" s="412"/>
      <c r="AP19" s="452"/>
      <c r="AQ19" s="452"/>
      <c r="AR19" s="450"/>
      <c r="AS19" s="406"/>
      <c r="AT19" s="415"/>
    </row>
    <row r="20" spans="1:46">
      <c r="A20" s="405"/>
      <c r="B20" s="451"/>
      <c r="C20" s="451"/>
      <c r="D20" s="406"/>
      <c r="E20" s="451"/>
      <c r="F20" s="407"/>
      <c r="G20" s="406" t="s">
        <v>995</v>
      </c>
      <c r="H20" s="408" t="s">
        <v>272</v>
      </c>
      <c r="I20" s="406" t="s">
        <v>193</v>
      </c>
      <c r="J20" s="406" t="s">
        <v>193</v>
      </c>
      <c r="K20" s="406" t="s">
        <v>193</v>
      </c>
      <c r="L20" s="406" t="s">
        <v>193</v>
      </c>
      <c r="M20" s="406" t="s">
        <v>193</v>
      </c>
      <c r="N20" s="406" t="s">
        <v>193</v>
      </c>
      <c r="O20" s="406" t="s">
        <v>193</v>
      </c>
      <c r="P20" s="409" t="s">
        <v>470</v>
      </c>
      <c r="Q20" s="406" t="s">
        <v>193</v>
      </c>
      <c r="R20" s="406" t="s">
        <v>193</v>
      </c>
      <c r="S20" s="406" t="s">
        <v>193</v>
      </c>
      <c r="T20" s="406" t="s">
        <v>193</v>
      </c>
      <c r="U20" s="406" t="s">
        <v>193</v>
      </c>
      <c r="V20" s="406" t="s">
        <v>193</v>
      </c>
      <c r="W20" s="406" t="s">
        <v>193</v>
      </c>
      <c r="X20" s="406" t="s">
        <v>193</v>
      </c>
      <c r="Y20" s="406" t="s">
        <v>193</v>
      </c>
      <c r="Z20" s="406" t="s">
        <v>193</v>
      </c>
      <c r="AA20" s="406" t="s">
        <v>193</v>
      </c>
      <c r="AB20" s="409" t="s">
        <v>470</v>
      </c>
      <c r="AC20" s="406" t="s">
        <v>193</v>
      </c>
      <c r="AD20" s="406" t="s">
        <v>193</v>
      </c>
      <c r="AE20" s="406" t="s">
        <v>193</v>
      </c>
      <c r="AF20" s="406" t="s">
        <v>193</v>
      </c>
      <c r="AG20" s="412"/>
      <c r="AH20" s="413"/>
      <c r="AI20" s="412"/>
      <c r="AJ20" s="407"/>
      <c r="AK20" s="412"/>
      <c r="AL20" s="412"/>
      <c r="AM20" s="407"/>
      <c r="AN20" s="412"/>
      <c r="AO20" s="412"/>
      <c r="AP20" s="452"/>
      <c r="AQ20" s="452"/>
      <c r="AR20" s="450"/>
      <c r="AS20" s="406"/>
      <c r="AT20" s="415"/>
    </row>
    <row r="21" ht="117" spans="1:46">
      <c r="A21" s="405">
        <v>5</v>
      </c>
      <c r="B21" s="451" t="s">
        <v>1019</v>
      </c>
      <c r="C21" s="451" t="s">
        <v>1020</v>
      </c>
      <c r="D21" s="451" t="s">
        <v>1021</v>
      </c>
      <c r="E21" s="451" t="s">
        <v>265</v>
      </c>
      <c r="F21" s="407" t="s">
        <v>266</v>
      </c>
      <c r="G21" s="408" t="s">
        <v>987</v>
      </c>
      <c r="H21" s="408" t="s">
        <v>266</v>
      </c>
      <c r="I21" s="406" t="s">
        <v>193</v>
      </c>
      <c r="J21" s="406" t="s">
        <v>193</v>
      </c>
      <c r="K21" s="406" t="s">
        <v>193</v>
      </c>
      <c r="L21" s="406" t="s">
        <v>1020</v>
      </c>
      <c r="M21" s="406" t="s">
        <v>1021</v>
      </c>
      <c r="N21" s="406" t="s">
        <v>193</v>
      </c>
      <c r="O21" s="406" t="s">
        <v>193</v>
      </c>
      <c r="P21" s="409" t="s">
        <v>470</v>
      </c>
      <c r="Q21" s="410" t="s">
        <v>1022</v>
      </c>
      <c r="R21" s="410" t="s">
        <v>1023</v>
      </c>
      <c r="S21" s="406" t="s">
        <v>193</v>
      </c>
      <c r="T21" s="406" t="s">
        <v>193</v>
      </c>
      <c r="U21" s="406">
        <v>1</v>
      </c>
      <c r="V21" s="406">
        <v>0</v>
      </c>
      <c r="W21" s="406" t="s">
        <v>469</v>
      </c>
      <c r="X21" s="406" t="s">
        <v>193</v>
      </c>
      <c r="Y21" s="406" t="s">
        <v>193</v>
      </c>
      <c r="Z21" s="406" t="s">
        <v>193</v>
      </c>
      <c r="AA21" s="406" t="s">
        <v>193</v>
      </c>
      <c r="AB21" s="409" t="s">
        <v>470</v>
      </c>
      <c r="AC21" s="406" t="s">
        <v>990</v>
      </c>
      <c r="AD21" s="406" t="s">
        <v>991</v>
      </c>
      <c r="AE21" s="406" t="s">
        <v>193</v>
      </c>
      <c r="AF21" s="411" t="s">
        <v>604</v>
      </c>
      <c r="AG21" s="412" t="s">
        <v>272</v>
      </c>
      <c r="AH21" s="413" t="s">
        <v>266</v>
      </c>
      <c r="AI21" s="412" t="s">
        <v>272</v>
      </c>
      <c r="AJ21" s="412" t="s">
        <v>272</v>
      </c>
      <c r="AK21" s="407" t="s">
        <v>266</v>
      </c>
      <c r="AL21" s="412" t="s">
        <v>272</v>
      </c>
      <c r="AM21" s="412" t="s">
        <v>272</v>
      </c>
      <c r="AN21" s="412" t="s">
        <v>272</v>
      </c>
      <c r="AO21" s="407" t="s">
        <v>266</v>
      </c>
      <c r="AP21" s="407" t="s">
        <v>266</v>
      </c>
      <c r="AQ21" s="407" t="s">
        <v>266</v>
      </c>
      <c r="AR21" s="450" t="s">
        <v>193</v>
      </c>
      <c r="AS21" s="406" t="s">
        <v>193</v>
      </c>
      <c r="AT21" s="415" t="s">
        <v>1002</v>
      </c>
    </row>
    <row r="22" ht="12" customHeight="1" spans="1:46">
      <c r="A22" s="405"/>
      <c r="B22" s="451"/>
      <c r="C22" s="451"/>
      <c r="D22" s="451"/>
      <c r="E22" s="451"/>
      <c r="F22" s="407"/>
      <c r="G22" s="406" t="s">
        <v>994</v>
      </c>
      <c r="H22" s="408" t="s">
        <v>272</v>
      </c>
      <c r="I22" s="406" t="s">
        <v>193</v>
      </c>
      <c r="J22" s="406" t="s">
        <v>193</v>
      </c>
      <c r="K22" s="406" t="s">
        <v>193</v>
      </c>
      <c r="L22" s="406" t="s">
        <v>193</v>
      </c>
      <c r="M22" s="406" t="s">
        <v>193</v>
      </c>
      <c r="N22" s="406" t="s">
        <v>193</v>
      </c>
      <c r="O22" s="406" t="s">
        <v>193</v>
      </c>
      <c r="P22" s="409" t="s">
        <v>470</v>
      </c>
      <c r="Q22" s="406" t="s">
        <v>193</v>
      </c>
      <c r="R22" s="406" t="s">
        <v>193</v>
      </c>
      <c r="S22" s="406" t="s">
        <v>193</v>
      </c>
      <c r="T22" s="406" t="s">
        <v>193</v>
      </c>
      <c r="U22" s="406" t="s">
        <v>193</v>
      </c>
      <c r="V22" s="406" t="s">
        <v>193</v>
      </c>
      <c r="W22" s="406" t="s">
        <v>193</v>
      </c>
      <c r="X22" s="406" t="s">
        <v>193</v>
      </c>
      <c r="Y22" s="406" t="s">
        <v>193</v>
      </c>
      <c r="Z22" s="406" t="s">
        <v>193</v>
      </c>
      <c r="AA22" s="406" t="s">
        <v>193</v>
      </c>
      <c r="AB22" s="409" t="s">
        <v>470</v>
      </c>
      <c r="AC22" s="406" t="s">
        <v>193</v>
      </c>
      <c r="AD22" s="406" t="s">
        <v>193</v>
      </c>
      <c r="AE22" s="406" t="s">
        <v>193</v>
      </c>
      <c r="AF22" s="406" t="s">
        <v>193</v>
      </c>
      <c r="AG22" s="412"/>
      <c r="AH22" s="413"/>
      <c r="AI22" s="412"/>
      <c r="AJ22" s="412"/>
      <c r="AK22" s="407"/>
      <c r="AL22" s="412"/>
      <c r="AM22" s="412"/>
      <c r="AN22" s="412"/>
      <c r="AO22" s="407"/>
      <c r="AP22" s="407"/>
      <c r="AQ22" s="407"/>
      <c r="AR22" s="450"/>
      <c r="AS22" s="406"/>
      <c r="AT22" s="415"/>
    </row>
    <row r="23" spans="1:46">
      <c r="A23" s="405"/>
      <c r="B23" s="451"/>
      <c r="C23" s="451"/>
      <c r="D23" s="451"/>
      <c r="E23" s="451"/>
      <c r="F23" s="407"/>
      <c r="G23" s="406" t="s">
        <v>995</v>
      </c>
      <c r="H23" s="408" t="s">
        <v>272</v>
      </c>
      <c r="I23" s="406" t="s">
        <v>193</v>
      </c>
      <c r="J23" s="406" t="s">
        <v>193</v>
      </c>
      <c r="K23" s="406" t="s">
        <v>193</v>
      </c>
      <c r="L23" s="406" t="s">
        <v>193</v>
      </c>
      <c r="M23" s="406" t="s">
        <v>193</v>
      </c>
      <c r="N23" s="406" t="s">
        <v>193</v>
      </c>
      <c r="O23" s="406" t="s">
        <v>193</v>
      </c>
      <c r="P23" s="409" t="s">
        <v>470</v>
      </c>
      <c r="Q23" s="406" t="s">
        <v>193</v>
      </c>
      <c r="R23" s="406" t="s">
        <v>193</v>
      </c>
      <c r="S23" s="406" t="s">
        <v>193</v>
      </c>
      <c r="T23" s="406" t="s">
        <v>193</v>
      </c>
      <c r="U23" s="406" t="s">
        <v>193</v>
      </c>
      <c r="V23" s="406" t="s">
        <v>193</v>
      </c>
      <c r="W23" s="406" t="s">
        <v>193</v>
      </c>
      <c r="X23" s="406" t="s">
        <v>193</v>
      </c>
      <c r="Y23" s="406" t="s">
        <v>193</v>
      </c>
      <c r="Z23" s="406" t="s">
        <v>193</v>
      </c>
      <c r="AA23" s="406" t="s">
        <v>193</v>
      </c>
      <c r="AB23" s="409" t="s">
        <v>470</v>
      </c>
      <c r="AC23" s="406" t="s">
        <v>193</v>
      </c>
      <c r="AD23" s="406" t="s">
        <v>193</v>
      </c>
      <c r="AE23" s="406" t="s">
        <v>193</v>
      </c>
      <c r="AF23" s="406" t="s">
        <v>193</v>
      </c>
      <c r="AG23" s="412"/>
      <c r="AH23" s="413"/>
      <c r="AI23" s="412"/>
      <c r="AJ23" s="412"/>
      <c r="AK23" s="407"/>
      <c r="AL23" s="412"/>
      <c r="AM23" s="412"/>
      <c r="AN23" s="412"/>
      <c r="AO23" s="407"/>
      <c r="AP23" s="407"/>
      <c r="AQ23" s="407"/>
      <c r="AR23" s="450"/>
      <c r="AS23" s="406"/>
      <c r="AT23" s="415"/>
    </row>
    <row r="24" ht="39" spans="1:46">
      <c r="A24" s="405">
        <v>6</v>
      </c>
      <c r="B24" s="451" t="s">
        <v>1024</v>
      </c>
      <c r="C24" s="451" t="s">
        <v>1025</v>
      </c>
      <c r="D24" s="451" t="s">
        <v>1026</v>
      </c>
      <c r="E24" s="451" t="s">
        <v>265</v>
      </c>
      <c r="F24" s="453" t="s">
        <v>272</v>
      </c>
      <c r="G24" s="408" t="s">
        <v>987</v>
      </c>
      <c r="H24" s="408" t="s">
        <v>266</v>
      </c>
      <c r="I24" s="406" t="s">
        <v>193</v>
      </c>
      <c r="J24" s="406" t="s">
        <v>193</v>
      </c>
      <c r="K24" s="406" t="s">
        <v>193</v>
      </c>
      <c r="L24" s="406" t="s">
        <v>1025</v>
      </c>
      <c r="M24" s="406" t="s">
        <v>1026</v>
      </c>
      <c r="N24" s="406" t="s">
        <v>193</v>
      </c>
      <c r="O24" s="406" t="s">
        <v>193</v>
      </c>
      <c r="P24" s="409" t="s">
        <v>470</v>
      </c>
      <c r="Q24" s="410" t="s">
        <v>1027</v>
      </c>
      <c r="R24" s="410" t="s">
        <v>1028</v>
      </c>
      <c r="S24" s="406" t="s">
        <v>193</v>
      </c>
      <c r="T24" s="406" t="s">
        <v>193</v>
      </c>
      <c r="U24" s="406">
        <v>1</v>
      </c>
      <c r="V24" s="406">
        <v>0</v>
      </c>
      <c r="W24" s="406" t="s">
        <v>469</v>
      </c>
      <c r="X24" s="406" t="s">
        <v>193</v>
      </c>
      <c r="Y24" s="406" t="s">
        <v>193</v>
      </c>
      <c r="Z24" s="406" t="s">
        <v>193</v>
      </c>
      <c r="AA24" s="406" t="s">
        <v>193</v>
      </c>
      <c r="AB24" s="409" t="s">
        <v>470</v>
      </c>
      <c r="AC24" s="406" t="s">
        <v>990</v>
      </c>
      <c r="AD24" s="406" t="s">
        <v>991</v>
      </c>
      <c r="AE24" s="406" t="s">
        <v>193</v>
      </c>
      <c r="AF24" s="411" t="s">
        <v>604</v>
      </c>
      <c r="AG24" s="450" t="s">
        <v>272</v>
      </c>
      <c r="AH24" s="413" t="s">
        <v>266</v>
      </c>
      <c r="AI24" s="450" t="s">
        <v>272</v>
      </c>
      <c r="AJ24" s="450" t="s">
        <v>272</v>
      </c>
      <c r="AK24" s="450" t="s">
        <v>266</v>
      </c>
      <c r="AL24" s="450" t="s">
        <v>272</v>
      </c>
      <c r="AM24" s="450" t="s">
        <v>272</v>
      </c>
      <c r="AN24" s="450" t="s">
        <v>272</v>
      </c>
      <c r="AO24" s="450" t="s">
        <v>266</v>
      </c>
      <c r="AP24" s="450" t="s">
        <v>266</v>
      </c>
      <c r="AQ24" s="450" t="s">
        <v>266</v>
      </c>
      <c r="AR24" s="450" t="s">
        <v>193</v>
      </c>
      <c r="AS24" s="406" t="s">
        <v>193</v>
      </c>
      <c r="AT24" s="415" t="s">
        <v>1002</v>
      </c>
    </row>
    <row r="25" spans="1:46">
      <c r="A25" s="405"/>
      <c r="B25" s="451"/>
      <c r="C25" s="451"/>
      <c r="D25" s="451"/>
      <c r="E25" s="451"/>
      <c r="F25" s="453"/>
      <c r="G25" s="406" t="s">
        <v>994</v>
      </c>
      <c r="H25" s="408" t="s">
        <v>272</v>
      </c>
      <c r="I25" s="406" t="s">
        <v>193</v>
      </c>
      <c r="J25" s="406" t="s">
        <v>193</v>
      </c>
      <c r="K25" s="406" t="s">
        <v>193</v>
      </c>
      <c r="L25" s="406" t="s">
        <v>193</v>
      </c>
      <c r="M25" s="406" t="s">
        <v>193</v>
      </c>
      <c r="N25" s="406" t="s">
        <v>193</v>
      </c>
      <c r="O25" s="406" t="s">
        <v>193</v>
      </c>
      <c r="P25" s="409" t="s">
        <v>470</v>
      </c>
      <c r="Q25" s="406" t="s">
        <v>193</v>
      </c>
      <c r="R25" s="406" t="s">
        <v>193</v>
      </c>
      <c r="S25" s="406" t="s">
        <v>193</v>
      </c>
      <c r="T25" s="406" t="s">
        <v>193</v>
      </c>
      <c r="U25" s="406" t="s">
        <v>193</v>
      </c>
      <c r="V25" s="406" t="s">
        <v>193</v>
      </c>
      <c r="W25" s="406" t="s">
        <v>193</v>
      </c>
      <c r="X25" s="406" t="s">
        <v>193</v>
      </c>
      <c r="Y25" s="406" t="s">
        <v>193</v>
      </c>
      <c r="Z25" s="406" t="s">
        <v>193</v>
      </c>
      <c r="AA25" s="406" t="s">
        <v>193</v>
      </c>
      <c r="AB25" s="409" t="s">
        <v>470</v>
      </c>
      <c r="AC25" s="406" t="s">
        <v>193</v>
      </c>
      <c r="AD25" s="406" t="s">
        <v>193</v>
      </c>
      <c r="AE25" s="406" t="s">
        <v>193</v>
      </c>
      <c r="AF25" s="406" t="s">
        <v>193</v>
      </c>
      <c r="AG25" s="450"/>
      <c r="AH25" s="413"/>
      <c r="AI25" s="450"/>
      <c r="AJ25" s="450"/>
      <c r="AK25" s="450"/>
      <c r="AL25" s="450"/>
      <c r="AM25" s="450"/>
      <c r="AN25" s="450"/>
      <c r="AO25" s="450"/>
      <c r="AP25" s="450"/>
      <c r="AQ25" s="450"/>
      <c r="AR25" s="450"/>
      <c r="AS25" s="406"/>
      <c r="AT25" s="415"/>
    </row>
    <row r="26" spans="1:46">
      <c r="A26" s="405"/>
      <c r="B26" s="451"/>
      <c r="C26" s="451"/>
      <c r="D26" s="451"/>
      <c r="E26" s="451"/>
      <c r="F26" s="453"/>
      <c r="G26" s="406" t="s">
        <v>995</v>
      </c>
      <c r="H26" s="408" t="s">
        <v>272</v>
      </c>
      <c r="I26" s="406" t="s">
        <v>193</v>
      </c>
      <c r="J26" s="406" t="s">
        <v>193</v>
      </c>
      <c r="K26" s="406" t="s">
        <v>193</v>
      </c>
      <c r="L26" s="406" t="s">
        <v>193</v>
      </c>
      <c r="M26" s="406" t="s">
        <v>193</v>
      </c>
      <c r="N26" s="406" t="s">
        <v>193</v>
      </c>
      <c r="O26" s="406" t="s">
        <v>193</v>
      </c>
      <c r="P26" s="409" t="s">
        <v>470</v>
      </c>
      <c r="Q26" s="406" t="s">
        <v>193</v>
      </c>
      <c r="R26" s="406" t="s">
        <v>193</v>
      </c>
      <c r="S26" s="406" t="s">
        <v>193</v>
      </c>
      <c r="T26" s="406" t="s">
        <v>193</v>
      </c>
      <c r="U26" s="406" t="s">
        <v>193</v>
      </c>
      <c r="V26" s="406" t="s">
        <v>193</v>
      </c>
      <c r="W26" s="406" t="s">
        <v>193</v>
      </c>
      <c r="X26" s="406" t="s">
        <v>193</v>
      </c>
      <c r="Y26" s="406" t="s">
        <v>193</v>
      </c>
      <c r="Z26" s="406" t="s">
        <v>193</v>
      </c>
      <c r="AA26" s="406" t="s">
        <v>193</v>
      </c>
      <c r="AB26" s="409" t="s">
        <v>470</v>
      </c>
      <c r="AC26" s="406" t="s">
        <v>193</v>
      </c>
      <c r="AD26" s="406" t="s">
        <v>193</v>
      </c>
      <c r="AE26" s="406" t="s">
        <v>193</v>
      </c>
      <c r="AF26" s="406" t="s">
        <v>193</v>
      </c>
      <c r="AG26" s="450"/>
      <c r="AH26" s="413"/>
      <c r="AI26" s="450"/>
      <c r="AJ26" s="450"/>
      <c r="AK26" s="450"/>
      <c r="AL26" s="450"/>
      <c r="AM26" s="450"/>
      <c r="AN26" s="450"/>
      <c r="AO26" s="450"/>
      <c r="AP26" s="450"/>
      <c r="AQ26" s="450"/>
      <c r="AR26" s="450"/>
      <c r="AS26" s="406"/>
      <c r="AT26" s="415"/>
    </row>
    <row r="27" ht="39" spans="1:46">
      <c r="A27" s="405">
        <v>7</v>
      </c>
      <c r="B27" s="451" t="s">
        <v>1029</v>
      </c>
      <c r="C27" s="451" t="s">
        <v>1030</v>
      </c>
      <c r="D27" s="451" t="s">
        <v>1031</v>
      </c>
      <c r="E27" s="451" t="s">
        <v>265</v>
      </c>
      <c r="F27" s="453" t="s">
        <v>272</v>
      </c>
      <c r="G27" s="408" t="s">
        <v>987</v>
      </c>
      <c r="H27" s="408" t="s">
        <v>266</v>
      </c>
      <c r="I27" s="406" t="s">
        <v>193</v>
      </c>
      <c r="J27" s="406" t="s">
        <v>193</v>
      </c>
      <c r="K27" s="406" t="s">
        <v>193</v>
      </c>
      <c r="L27" s="406" t="s">
        <v>1030</v>
      </c>
      <c r="M27" s="406" t="s">
        <v>1031</v>
      </c>
      <c r="N27" s="406" t="s">
        <v>193</v>
      </c>
      <c r="O27" s="406" t="s">
        <v>193</v>
      </c>
      <c r="P27" s="409" t="s">
        <v>470</v>
      </c>
      <c r="Q27" s="410" t="s">
        <v>1032</v>
      </c>
      <c r="R27" s="410" t="s">
        <v>1028</v>
      </c>
      <c r="S27" s="406" t="s">
        <v>193</v>
      </c>
      <c r="T27" s="406" t="s">
        <v>193</v>
      </c>
      <c r="U27" s="406">
        <v>1</v>
      </c>
      <c r="V27" s="406">
        <v>0</v>
      </c>
      <c r="W27" s="406" t="s">
        <v>469</v>
      </c>
      <c r="X27" s="406" t="s">
        <v>193</v>
      </c>
      <c r="Y27" s="406" t="s">
        <v>193</v>
      </c>
      <c r="Z27" s="406" t="s">
        <v>193</v>
      </c>
      <c r="AA27" s="406" t="s">
        <v>193</v>
      </c>
      <c r="AB27" s="409" t="s">
        <v>470</v>
      </c>
      <c r="AC27" s="406" t="s">
        <v>990</v>
      </c>
      <c r="AD27" s="406" t="s">
        <v>991</v>
      </c>
      <c r="AE27" s="406" t="s">
        <v>193</v>
      </c>
      <c r="AF27" s="411" t="s">
        <v>604</v>
      </c>
      <c r="AG27" s="450" t="s">
        <v>272</v>
      </c>
      <c r="AH27" s="413" t="s">
        <v>266</v>
      </c>
      <c r="AI27" s="450" t="s">
        <v>266</v>
      </c>
      <c r="AJ27" s="450" t="s">
        <v>272</v>
      </c>
      <c r="AK27" s="450" t="s">
        <v>266</v>
      </c>
      <c r="AL27" s="450" t="s">
        <v>266</v>
      </c>
      <c r="AM27" s="450" t="s">
        <v>272</v>
      </c>
      <c r="AN27" s="450" t="s">
        <v>266</v>
      </c>
      <c r="AO27" s="450" t="s">
        <v>266</v>
      </c>
      <c r="AP27" s="450" t="s">
        <v>266</v>
      </c>
      <c r="AQ27" s="450" t="s">
        <v>266</v>
      </c>
      <c r="AR27" s="450" t="s">
        <v>193</v>
      </c>
      <c r="AS27" s="406" t="s">
        <v>1033</v>
      </c>
      <c r="AT27" s="415" t="s">
        <v>1002</v>
      </c>
    </row>
    <row r="28" spans="1:46">
      <c r="A28" s="405"/>
      <c r="B28" s="451"/>
      <c r="C28" s="451"/>
      <c r="D28" s="451"/>
      <c r="E28" s="451"/>
      <c r="F28" s="453"/>
      <c r="G28" s="406" t="s">
        <v>994</v>
      </c>
      <c r="H28" s="408" t="s">
        <v>272</v>
      </c>
      <c r="I28" s="406" t="s">
        <v>193</v>
      </c>
      <c r="J28" s="406" t="s">
        <v>193</v>
      </c>
      <c r="K28" s="406" t="s">
        <v>193</v>
      </c>
      <c r="L28" s="406" t="s">
        <v>193</v>
      </c>
      <c r="M28" s="406" t="s">
        <v>193</v>
      </c>
      <c r="N28" s="406" t="s">
        <v>193</v>
      </c>
      <c r="O28" s="406" t="s">
        <v>193</v>
      </c>
      <c r="P28" s="409" t="s">
        <v>470</v>
      </c>
      <c r="Q28" s="406" t="s">
        <v>193</v>
      </c>
      <c r="R28" s="406" t="s">
        <v>193</v>
      </c>
      <c r="S28" s="406" t="s">
        <v>193</v>
      </c>
      <c r="T28" s="406" t="s">
        <v>193</v>
      </c>
      <c r="U28" s="406" t="s">
        <v>193</v>
      </c>
      <c r="V28" s="406" t="s">
        <v>193</v>
      </c>
      <c r="W28" s="406" t="s">
        <v>193</v>
      </c>
      <c r="X28" s="406" t="s">
        <v>193</v>
      </c>
      <c r="Y28" s="406" t="s">
        <v>193</v>
      </c>
      <c r="Z28" s="406" t="s">
        <v>193</v>
      </c>
      <c r="AA28" s="406" t="s">
        <v>193</v>
      </c>
      <c r="AB28" s="409" t="s">
        <v>470</v>
      </c>
      <c r="AC28" s="406" t="s">
        <v>193</v>
      </c>
      <c r="AD28" s="406" t="s">
        <v>193</v>
      </c>
      <c r="AE28" s="406" t="s">
        <v>193</v>
      </c>
      <c r="AF28" s="406" t="s">
        <v>193</v>
      </c>
      <c r="AG28" s="450"/>
      <c r="AH28" s="413"/>
      <c r="AI28" s="450"/>
      <c r="AJ28" s="450"/>
      <c r="AK28" s="450"/>
      <c r="AL28" s="450"/>
      <c r="AM28" s="450"/>
      <c r="AN28" s="450"/>
      <c r="AO28" s="450"/>
      <c r="AP28" s="450"/>
      <c r="AQ28" s="450"/>
      <c r="AR28" s="450"/>
      <c r="AS28" s="406"/>
      <c r="AT28" s="415"/>
    </row>
    <row r="29" ht="78" spans="1:46">
      <c r="A29" s="405"/>
      <c r="B29" s="451"/>
      <c r="C29" s="451"/>
      <c r="D29" s="451"/>
      <c r="E29" s="451"/>
      <c r="F29" s="453"/>
      <c r="G29" s="406" t="s">
        <v>995</v>
      </c>
      <c r="H29" s="408" t="s">
        <v>266</v>
      </c>
      <c r="I29" s="406" t="s">
        <v>193</v>
      </c>
      <c r="J29" s="406" t="s">
        <v>193</v>
      </c>
      <c r="K29" s="406" t="s">
        <v>193</v>
      </c>
      <c r="L29" s="406" t="s">
        <v>193</v>
      </c>
      <c r="M29" s="406" t="s">
        <v>193</v>
      </c>
      <c r="N29" s="406" t="s">
        <v>193</v>
      </c>
      <c r="O29" s="406" t="s">
        <v>193</v>
      </c>
      <c r="P29" s="409" t="s">
        <v>470</v>
      </c>
      <c r="Q29" s="410" t="s">
        <v>1034</v>
      </c>
      <c r="R29" s="410" t="s">
        <v>1035</v>
      </c>
      <c r="S29" s="406" t="s">
        <v>193</v>
      </c>
      <c r="T29" s="406" t="s">
        <v>193</v>
      </c>
      <c r="U29" s="406">
        <v>1</v>
      </c>
      <c r="V29" s="406">
        <v>0</v>
      </c>
      <c r="W29" s="406" t="s">
        <v>469</v>
      </c>
      <c r="X29" s="406" t="s">
        <v>193</v>
      </c>
      <c r="Y29" s="406" t="s">
        <v>193</v>
      </c>
      <c r="Z29" s="406" t="s">
        <v>193</v>
      </c>
      <c r="AA29" s="406" t="s">
        <v>193</v>
      </c>
      <c r="AB29" s="409" t="s">
        <v>470</v>
      </c>
      <c r="AC29" s="406" t="s">
        <v>1036</v>
      </c>
      <c r="AD29" s="406" t="s">
        <v>1037</v>
      </c>
      <c r="AE29" s="406" t="s">
        <v>193</v>
      </c>
      <c r="AF29" s="411" t="s">
        <v>604</v>
      </c>
      <c r="AG29" s="450"/>
      <c r="AH29" s="413"/>
      <c r="AI29" s="450"/>
      <c r="AJ29" s="450"/>
      <c r="AK29" s="450"/>
      <c r="AL29" s="450"/>
      <c r="AM29" s="450"/>
      <c r="AN29" s="450"/>
      <c r="AO29" s="450"/>
      <c r="AP29" s="450"/>
      <c r="AQ29" s="450"/>
      <c r="AR29" s="450"/>
      <c r="AS29" s="406"/>
      <c r="AT29" s="415"/>
    </row>
    <row r="30" ht="39" spans="1:46">
      <c r="A30" s="405">
        <v>8</v>
      </c>
      <c r="B30" s="451" t="s">
        <v>1038</v>
      </c>
      <c r="C30" s="451" t="s">
        <v>1039</v>
      </c>
      <c r="D30" s="451" t="s">
        <v>1040</v>
      </c>
      <c r="E30" s="451" t="s">
        <v>265</v>
      </c>
      <c r="F30" s="453" t="s">
        <v>272</v>
      </c>
      <c r="G30" s="451" t="s">
        <v>987</v>
      </c>
      <c r="H30" s="454" t="s">
        <v>266</v>
      </c>
      <c r="I30" s="406" t="s">
        <v>193</v>
      </c>
      <c r="J30" s="406" t="s">
        <v>193</v>
      </c>
      <c r="K30" s="406" t="s">
        <v>193</v>
      </c>
      <c r="L30" s="406" t="s">
        <v>1039</v>
      </c>
      <c r="M30" s="406" t="s">
        <v>1040</v>
      </c>
      <c r="N30" s="406" t="s">
        <v>193</v>
      </c>
      <c r="O30" s="406" t="s">
        <v>193</v>
      </c>
      <c r="P30" s="409" t="s">
        <v>470</v>
      </c>
      <c r="Q30" s="410" t="s">
        <v>1027</v>
      </c>
      <c r="R30" s="410" t="s">
        <v>1028</v>
      </c>
      <c r="S30" s="406" t="s">
        <v>193</v>
      </c>
      <c r="T30" s="406" t="s">
        <v>193</v>
      </c>
      <c r="U30" s="406">
        <v>1</v>
      </c>
      <c r="V30" s="406">
        <v>0</v>
      </c>
      <c r="W30" s="406" t="s">
        <v>469</v>
      </c>
      <c r="X30" s="406" t="s">
        <v>193</v>
      </c>
      <c r="Y30" s="406" t="s">
        <v>193</v>
      </c>
      <c r="Z30" s="406" t="s">
        <v>193</v>
      </c>
      <c r="AA30" s="406" t="s">
        <v>193</v>
      </c>
      <c r="AB30" s="409" t="s">
        <v>470</v>
      </c>
      <c r="AC30" s="406" t="s">
        <v>990</v>
      </c>
      <c r="AD30" s="406" t="s">
        <v>991</v>
      </c>
      <c r="AE30" s="406" t="s">
        <v>193</v>
      </c>
      <c r="AF30" s="411" t="s">
        <v>604</v>
      </c>
      <c r="AG30" s="450" t="s">
        <v>272</v>
      </c>
      <c r="AH30" s="413" t="s">
        <v>266</v>
      </c>
      <c r="AI30" s="450" t="s">
        <v>272</v>
      </c>
      <c r="AJ30" s="450" t="s">
        <v>272</v>
      </c>
      <c r="AK30" s="450" t="s">
        <v>266</v>
      </c>
      <c r="AL30" s="450" t="s">
        <v>272</v>
      </c>
      <c r="AM30" s="450" t="s">
        <v>272</v>
      </c>
      <c r="AN30" s="450" t="s">
        <v>272</v>
      </c>
      <c r="AO30" s="450" t="s">
        <v>266</v>
      </c>
      <c r="AP30" s="450" t="s">
        <v>266</v>
      </c>
      <c r="AQ30" s="450" t="s">
        <v>266</v>
      </c>
      <c r="AR30" s="450" t="s">
        <v>193</v>
      </c>
      <c r="AS30" s="406" t="s">
        <v>193</v>
      </c>
      <c r="AT30" s="415" t="s">
        <v>1002</v>
      </c>
    </row>
    <row r="31" spans="1:46">
      <c r="A31" s="405"/>
      <c r="B31" s="451"/>
      <c r="C31" s="451"/>
      <c r="D31" s="451"/>
      <c r="E31" s="451"/>
      <c r="F31" s="453"/>
      <c r="G31" s="451" t="s">
        <v>994</v>
      </c>
      <c r="H31" s="454" t="s">
        <v>272</v>
      </c>
      <c r="I31" s="406" t="s">
        <v>193</v>
      </c>
      <c r="J31" s="406" t="s">
        <v>193</v>
      </c>
      <c r="K31" s="406" t="s">
        <v>193</v>
      </c>
      <c r="L31" s="406" t="s">
        <v>193</v>
      </c>
      <c r="M31" s="406" t="s">
        <v>193</v>
      </c>
      <c r="N31" s="406" t="s">
        <v>193</v>
      </c>
      <c r="O31" s="406" t="s">
        <v>193</v>
      </c>
      <c r="P31" s="409" t="s">
        <v>470</v>
      </c>
      <c r="Q31" s="406" t="s">
        <v>193</v>
      </c>
      <c r="R31" s="406" t="s">
        <v>193</v>
      </c>
      <c r="S31" s="406" t="s">
        <v>193</v>
      </c>
      <c r="T31" s="406" t="s">
        <v>193</v>
      </c>
      <c r="U31" s="406" t="s">
        <v>193</v>
      </c>
      <c r="V31" s="406" t="s">
        <v>193</v>
      </c>
      <c r="W31" s="406" t="s">
        <v>193</v>
      </c>
      <c r="X31" s="406" t="s">
        <v>193</v>
      </c>
      <c r="Y31" s="406" t="s">
        <v>193</v>
      </c>
      <c r="Z31" s="406" t="s">
        <v>193</v>
      </c>
      <c r="AA31" s="406" t="s">
        <v>193</v>
      </c>
      <c r="AB31" s="409" t="s">
        <v>470</v>
      </c>
      <c r="AC31" s="406" t="s">
        <v>193</v>
      </c>
      <c r="AD31" s="406" t="s">
        <v>193</v>
      </c>
      <c r="AE31" s="406" t="s">
        <v>193</v>
      </c>
      <c r="AF31" s="406" t="s">
        <v>193</v>
      </c>
      <c r="AG31" s="450"/>
      <c r="AH31" s="413"/>
      <c r="AI31" s="450"/>
      <c r="AJ31" s="450"/>
      <c r="AK31" s="450"/>
      <c r="AL31" s="450"/>
      <c r="AM31" s="450"/>
      <c r="AN31" s="450"/>
      <c r="AO31" s="450"/>
      <c r="AP31" s="450"/>
      <c r="AQ31" s="450"/>
      <c r="AR31" s="450"/>
      <c r="AS31" s="406"/>
      <c r="AT31" s="415"/>
    </row>
    <row r="32" spans="1:46">
      <c r="A32" s="405"/>
      <c r="B32" s="451"/>
      <c r="C32" s="451"/>
      <c r="D32" s="451"/>
      <c r="E32" s="451"/>
      <c r="F32" s="453"/>
      <c r="G32" s="451" t="s">
        <v>995</v>
      </c>
      <c r="H32" s="454" t="s">
        <v>272</v>
      </c>
      <c r="I32" s="406" t="s">
        <v>193</v>
      </c>
      <c r="J32" s="406" t="s">
        <v>193</v>
      </c>
      <c r="K32" s="406" t="s">
        <v>193</v>
      </c>
      <c r="L32" s="406" t="s">
        <v>193</v>
      </c>
      <c r="M32" s="406" t="s">
        <v>193</v>
      </c>
      <c r="N32" s="406" t="s">
        <v>193</v>
      </c>
      <c r="O32" s="406" t="s">
        <v>193</v>
      </c>
      <c r="P32" s="409" t="s">
        <v>470</v>
      </c>
      <c r="Q32" s="406" t="s">
        <v>193</v>
      </c>
      <c r="R32" s="406" t="s">
        <v>193</v>
      </c>
      <c r="S32" s="406" t="s">
        <v>193</v>
      </c>
      <c r="T32" s="406" t="s">
        <v>193</v>
      </c>
      <c r="U32" s="406" t="s">
        <v>193</v>
      </c>
      <c r="V32" s="406" t="s">
        <v>193</v>
      </c>
      <c r="W32" s="406" t="s">
        <v>193</v>
      </c>
      <c r="X32" s="406" t="s">
        <v>193</v>
      </c>
      <c r="Y32" s="406" t="s">
        <v>193</v>
      </c>
      <c r="Z32" s="406" t="s">
        <v>193</v>
      </c>
      <c r="AA32" s="406" t="s">
        <v>193</v>
      </c>
      <c r="AB32" s="409" t="s">
        <v>470</v>
      </c>
      <c r="AC32" s="406" t="s">
        <v>193</v>
      </c>
      <c r="AD32" s="406" t="s">
        <v>193</v>
      </c>
      <c r="AE32" s="406" t="s">
        <v>193</v>
      </c>
      <c r="AF32" s="406" t="s">
        <v>193</v>
      </c>
      <c r="AG32" s="450"/>
      <c r="AH32" s="413"/>
      <c r="AI32" s="450"/>
      <c r="AJ32" s="450"/>
      <c r="AK32" s="450"/>
      <c r="AL32" s="450"/>
      <c r="AM32" s="450"/>
      <c r="AN32" s="450"/>
      <c r="AO32" s="450"/>
      <c r="AP32" s="450"/>
      <c r="AQ32" s="450"/>
      <c r="AR32" s="450"/>
      <c r="AS32" s="406"/>
      <c r="AT32" s="415"/>
    </row>
    <row r="33" s="377" customFormat="1" ht="115.5" customHeight="1" spans="1:46">
      <c r="A33" s="455">
        <v>9</v>
      </c>
      <c r="B33" s="451" t="s">
        <v>1041</v>
      </c>
      <c r="C33" s="451" t="s">
        <v>1042</v>
      </c>
      <c r="D33" s="451" t="s">
        <v>1043</v>
      </c>
      <c r="E33" s="456" t="s">
        <v>282</v>
      </c>
      <c r="F33" s="453" t="s">
        <v>272</v>
      </c>
      <c r="G33" s="451" t="s">
        <v>987</v>
      </c>
      <c r="H33" s="454" t="s">
        <v>266</v>
      </c>
      <c r="I33" s="457">
        <v>3</v>
      </c>
      <c r="J33" s="406">
        <v>0</v>
      </c>
      <c r="K33" s="406" t="s">
        <v>469</v>
      </c>
      <c r="L33" s="406" t="s">
        <v>1044</v>
      </c>
      <c r="M33" s="406" t="s">
        <v>1045</v>
      </c>
      <c r="N33" s="406" t="s">
        <v>193</v>
      </c>
      <c r="O33" s="406" t="s">
        <v>193</v>
      </c>
      <c r="P33" s="409" t="s">
        <v>470</v>
      </c>
      <c r="Q33" s="406" t="s">
        <v>1046</v>
      </c>
      <c r="R33" s="406" t="s">
        <v>1046</v>
      </c>
      <c r="S33" s="406" t="s">
        <v>193</v>
      </c>
      <c r="T33" s="411" t="s">
        <v>604</v>
      </c>
      <c r="U33" s="457">
        <v>1</v>
      </c>
      <c r="V33" s="457">
        <v>0</v>
      </c>
      <c r="W33" s="457" t="s">
        <v>469</v>
      </c>
      <c r="X33" s="457" t="s">
        <v>193</v>
      </c>
      <c r="Y33" s="457" t="s">
        <v>193</v>
      </c>
      <c r="Z33" s="457" t="s">
        <v>193</v>
      </c>
      <c r="AA33" s="457" t="s">
        <v>193</v>
      </c>
      <c r="AB33" s="458" t="s">
        <v>470</v>
      </c>
      <c r="AC33" s="457" t="s">
        <v>990</v>
      </c>
      <c r="AD33" s="457" t="s">
        <v>991</v>
      </c>
      <c r="AE33" s="457" t="s">
        <v>193</v>
      </c>
      <c r="AF33" s="459" t="s">
        <v>604</v>
      </c>
      <c r="AG33" s="450" t="s">
        <v>272</v>
      </c>
      <c r="AH33" s="413" t="s">
        <v>272</v>
      </c>
      <c r="AI33" s="450" t="s">
        <v>266</v>
      </c>
      <c r="AJ33" s="450" t="s">
        <v>272</v>
      </c>
      <c r="AK33" s="450" t="s">
        <v>272</v>
      </c>
      <c r="AL33" s="450" t="s">
        <v>266</v>
      </c>
      <c r="AM33" s="450" t="s">
        <v>266</v>
      </c>
      <c r="AN33" s="450" t="s">
        <v>266</v>
      </c>
      <c r="AO33" s="450" t="s">
        <v>266</v>
      </c>
      <c r="AP33" s="450" t="s">
        <v>266</v>
      </c>
      <c r="AQ33" s="450" t="s">
        <v>266</v>
      </c>
      <c r="AR33" s="450" t="s">
        <v>193</v>
      </c>
      <c r="AS33" s="406" t="s">
        <v>193</v>
      </c>
      <c r="AT33" s="415" t="s">
        <v>1002</v>
      </c>
    </row>
    <row r="34" s="377" customFormat="1" ht="65" spans="1:46">
      <c r="A34" s="455"/>
      <c r="B34" s="451"/>
      <c r="C34" s="451"/>
      <c r="D34" s="451"/>
      <c r="E34" s="456"/>
      <c r="F34" s="453"/>
      <c r="G34" s="451"/>
      <c r="H34" s="454"/>
      <c r="I34" s="457"/>
      <c r="J34" s="406">
        <v>1</v>
      </c>
      <c r="K34" s="406" t="s">
        <v>469</v>
      </c>
      <c r="L34" s="406" t="s">
        <v>1047</v>
      </c>
      <c r="M34" s="406" t="s">
        <v>1048</v>
      </c>
      <c r="N34" s="406" t="s">
        <v>193</v>
      </c>
      <c r="O34" s="406" t="s">
        <v>193</v>
      </c>
      <c r="P34" s="409" t="s">
        <v>470</v>
      </c>
      <c r="Q34" s="406" t="s">
        <v>1049</v>
      </c>
      <c r="R34" s="406" t="s">
        <v>1049</v>
      </c>
      <c r="S34" s="406" t="s">
        <v>193</v>
      </c>
      <c r="T34" s="411" t="s">
        <v>604</v>
      </c>
      <c r="U34" s="457"/>
      <c r="V34" s="457"/>
      <c r="W34" s="457"/>
      <c r="X34" s="457"/>
      <c r="Y34" s="457"/>
      <c r="Z34" s="457"/>
      <c r="AA34" s="457"/>
      <c r="AB34" s="458"/>
      <c r="AC34" s="457"/>
      <c r="AD34" s="457"/>
      <c r="AE34" s="457"/>
      <c r="AF34" s="459"/>
      <c r="AG34" s="450"/>
      <c r="AH34" s="413"/>
      <c r="AI34" s="450"/>
      <c r="AJ34" s="450"/>
      <c r="AK34" s="450"/>
      <c r="AL34" s="450"/>
      <c r="AM34" s="450"/>
      <c r="AN34" s="450"/>
      <c r="AO34" s="450"/>
      <c r="AP34" s="450"/>
      <c r="AQ34" s="450"/>
      <c r="AR34" s="450"/>
      <c r="AS34" s="406"/>
      <c r="AT34" s="415"/>
    </row>
    <row r="35" s="377" customFormat="1" ht="156" spans="1:46">
      <c r="A35" s="455"/>
      <c r="B35" s="451"/>
      <c r="C35" s="451"/>
      <c r="D35" s="451"/>
      <c r="E35" s="456"/>
      <c r="F35" s="453"/>
      <c r="G35" s="451"/>
      <c r="H35" s="454"/>
      <c r="I35" s="457"/>
      <c r="J35" s="406">
        <v>2</v>
      </c>
      <c r="K35" s="406" t="s">
        <v>469</v>
      </c>
      <c r="L35" s="406" t="s">
        <v>1050</v>
      </c>
      <c r="M35" s="406" t="s">
        <v>1051</v>
      </c>
      <c r="N35" s="406" t="s">
        <v>193</v>
      </c>
      <c r="O35" s="406" t="s">
        <v>193</v>
      </c>
      <c r="P35" s="409" t="s">
        <v>470</v>
      </c>
      <c r="Q35" s="406" t="s">
        <v>1052</v>
      </c>
      <c r="R35" s="406" t="s">
        <v>1052</v>
      </c>
      <c r="S35" s="406" t="s">
        <v>193</v>
      </c>
      <c r="T35" s="411" t="s">
        <v>604</v>
      </c>
      <c r="U35" s="457"/>
      <c r="V35" s="457"/>
      <c r="W35" s="457"/>
      <c r="X35" s="457"/>
      <c r="Y35" s="457"/>
      <c r="Z35" s="457"/>
      <c r="AA35" s="457"/>
      <c r="AB35" s="458"/>
      <c r="AC35" s="457"/>
      <c r="AD35" s="457"/>
      <c r="AE35" s="457"/>
      <c r="AF35" s="459"/>
      <c r="AG35" s="450"/>
      <c r="AH35" s="413"/>
      <c r="AI35" s="450"/>
      <c r="AJ35" s="450"/>
      <c r="AK35" s="450"/>
      <c r="AL35" s="450"/>
      <c r="AM35" s="450"/>
      <c r="AN35" s="450"/>
      <c r="AO35" s="450"/>
      <c r="AP35" s="450"/>
      <c r="AQ35" s="450"/>
      <c r="AR35" s="450"/>
      <c r="AS35" s="406"/>
      <c r="AT35" s="415"/>
    </row>
    <row r="36" s="377" customFormat="1" spans="1:46">
      <c r="A36" s="455"/>
      <c r="B36" s="451"/>
      <c r="C36" s="451"/>
      <c r="D36" s="451"/>
      <c r="E36" s="456"/>
      <c r="F36" s="453"/>
      <c r="G36" s="451" t="s">
        <v>994</v>
      </c>
      <c r="H36" s="454" t="s">
        <v>272</v>
      </c>
      <c r="I36" s="406" t="s">
        <v>193</v>
      </c>
      <c r="J36" s="406" t="s">
        <v>193</v>
      </c>
      <c r="K36" s="406" t="s">
        <v>193</v>
      </c>
      <c r="L36" s="406" t="s">
        <v>193</v>
      </c>
      <c r="M36" s="406" t="s">
        <v>193</v>
      </c>
      <c r="N36" s="406" t="s">
        <v>193</v>
      </c>
      <c r="O36" s="406" t="s">
        <v>193</v>
      </c>
      <c r="P36" s="409" t="s">
        <v>470</v>
      </c>
      <c r="Q36" s="406" t="s">
        <v>193</v>
      </c>
      <c r="R36" s="406" t="s">
        <v>193</v>
      </c>
      <c r="S36" s="406" t="s">
        <v>193</v>
      </c>
      <c r="T36" s="406" t="s">
        <v>193</v>
      </c>
      <c r="U36" s="406" t="s">
        <v>193</v>
      </c>
      <c r="V36" s="406" t="s">
        <v>193</v>
      </c>
      <c r="W36" s="406" t="s">
        <v>193</v>
      </c>
      <c r="X36" s="406" t="s">
        <v>193</v>
      </c>
      <c r="Y36" s="406" t="s">
        <v>193</v>
      </c>
      <c r="Z36" s="406" t="s">
        <v>193</v>
      </c>
      <c r="AA36" s="406" t="s">
        <v>193</v>
      </c>
      <c r="AB36" s="409" t="s">
        <v>470</v>
      </c>
      <c r="AC36" s="406" t="s">
        <v>193</v>
      </c>
      <c r="AD36" s="406" t="s">
        <v>193</v>
      </c>
      <c r="AE36" s="406" t="s">
        <v>193</v>
      </c>
      <c r="AF36" s="406" t="s">
        <v>193</v>
      </c>
      <c r="AG36" s="450"/>
      <c r="AH36" s="413"/>
      <c r="AI36" s="450"/>
      <c r="AJ36" s="450"/>
      <c r="AK36" s="450"/>
      <c r="AL36" s="450"/>
      <c r="AM36" s="450"/>
      <c r="AN36" s="450"/>
      <c r="AO36" s="450"/>
      <c r="AP36" s="450"/>
      <c r="AQ36" s="450"/>
      <c r="AR36" s="450"/>
      <c r="AS36" s="406"/>
      <c r="AT36" s="415"/>
    </row>
    <row r="37" s="377" customFormat="1" spans="1:46">
      <c r="A37" s="455"/>
      <c r="B37" s="451"/>
      <c r="C37" s="451"/>
      <c r="D37" s="451"/>
      <c r="E37" s="456"/>
      <c r="F37" s="453"/>
      <c r="G37" s="451" t="s">
        <v>995</v>
      </c>
      <c r="H37" s="454" t="s">
        <v>272</v>
      </c>
      <c r="I37" s="406" t="s">
        <v>193</v>
      </c>
      <c r="J37" s="406" t="s">
        <v>193</v>
      </c>
      <c r="K37" s="406" t="s">
        <v>193</v>
      </c>
      <c r="L37" s="406" t="s">
        <v>193</v>
      </c>
      <c r="M37" s="406" t="s">
        <v>193</v>
      </c>
      <c r="N37" s="406" t="s">
        <v>193</v>
      </c>
      <c r="O37" s="406" t="s">
        <v>193</v>
      </c>
      <c r="P37" s="409" t="s">
        <v>470</v>
      </c>
      <c r="Q37" s="406" t="s">
        <v>193</v>
      </c>
      <c r="R37" s="406" t="s">
        <v>193</v>
      </c>
      <c r="S37" s="406" t="s">
        <v>193</v>
      </c>
      <c r="T37" s="406" t="s">
        <v>193</v>
      </c>
      <c r="U37" s="406" t="s">
        <v>193</v>
      </c>
      <c r="V37" s="406" t="s">
        <v>193</v>
      </c>
      <c r="W37" s="406" t="s">
        <v>193</v>
      </c>
      <c r="X37" s="406" t="s">
        <v>193</v>
      </c>
      <c r="Y37" s="406" t="s">
        <v>193</v>
      </c>
      <c r="Z37" s="406" t="s">
        <v>193</v>
      </c>
      <c r="AA37" s="406" t="s">
        <v>193</v>
      </c>
      <c r="AB37" s="409" t="s">
        <v>470</v>
      </c>
      <c r="AC37" s="406" t="s">
        <v>193</v>
      </c>
      <c r="AD37" s="406" t="s">
        <v>193</v>
      </c>
      <c r="AE37" s="406" t="s">
        <v>193</v>
      </c>
      <c r="AF37" s="406" t="s">
        <v>193</v>
      </c>
      <c r="AG37" s="450"/>
      <c r="AH37" s="413"/>
      <c r="AI37" s="450"/>
      <c r="AJ37" s="450"/>
      <c r="AK37" s="450"/>
      <c r="AL37" s="450"/>
      <c r="AM37" s="450"/>
      <c r="AN37" s="450"/>
      <c r="AO37" s="450"/>
      <c r="AP37" s="450"/>
      <c r="AQ37" s="450"/>
      <c r="AR37" s="450"/>
      <c r="AS37" s="406"/>
      <c r="AT37" s="415"/>
    </row>
    <row r="38" ht="39" spans="1:46">
      <c r="A38" s="405">
        <v>15</v>
      </c>
      <c r="B38" s="460" t="s">
        <v>1053</v>
      </c>
      <c r="C38" s="460" t="s">
        <v>1054</v>
      </c>
      <c r="D38" s="460" t="s">
        <v>1055</v>
      </c>
      <c r="E38" s="460" t="s">
        <v>282</v>
      </c>
      <c r="F38" s="461" t="s">
        <v>272</v>
      </c>
      <c r="G38" s="462" t="s">
        <v>987</v>
      </c>
      <c r="H38" s="463" t="s">
        <v>266</v>
      </c>
      <c r="I38" s="406" t="s">
        <v>193</v>
      </c>
      <c r="J38" s="406" t="s">
        <v>193</v>
      </c>
      <c r="K38" s="406" t="s">
        <v>193</v>
      </c>
      <c r="L38" s="464" t="s">
        <v>1054</v>
      </c>
      <c r="M38" s="464" t="s">
        <v>1055</v>
      </c>
      <c r="N38" s="464" t="s">
        <v>193</v>
      </c>
      <c r="O38" s="464" t="s">
        <v>193</v>
      </c>
      <c r="P38" s="465" t="s">
        <v>470</v>
      </c>
      <c r="Q38" s="464" t="s">
        <v>193</v>
      </c>
      <c r="R38" s="464" t="s">
        <v>193</v>
      </c>
      <c r="S38" s="464" t="s">
        <v>193</v>
      </c>
      <c r="T38" s="406" t="s">
        <v>193</v>
      </c>
      <c r="U38" s="464">
        <v>1</v>
      </c>
      <c r="V38" s="464">
        <v>0</v>
      </c>
      <c r="W38" s="464" t="s">
        <v>469</v>
      </c>
      <c r="X38" s="464" t="s">
        <v>193</v>
      </c>
      <c r="Y38" s="464" t="s">
        <v>193</v>
      </c>
      <c r="Z38" s="464" t="s">
        <v>193</v>
      </c>
      <c r="AA38" s="464" t="s">
        <v>193</v>
      </c>
      <c r="AB38" s="465" t="s">
        <v>470</v>
      </c>
      <c r="AC38" s="460"/>
      <c r="AD38" s="464"/>
      <c r="AE38" s="464" t="s">
        <v>193</v>
      </c>
      <c r="AF38" s="411" t="s">
        <v>93</v>
      </c>
      <c r="AG38" s="466" t="s">
        <v>272</v>
      </c>
      <c r="AH38" s="467" t="s">
        <v>272</v>
      </c>
      <c r="AI38" s="466" t="s">
        <v>266</v>
      </c>
      <c r="AJ38" s="466" t="s">
        <v>272</v>
      </c>
      <c r="AK38" s="466" t="s">
        <v>272</v>
      </c>
      <c r="AL38" s="466" t="s">
        <v>272</v>
      </c>
      <c r="AM38" s="466" t="s">
        <v>272</v>
      </c>
      <c r="AN38" s="466" t="s">
        <v>272</v>
      </c>
      <c r="AO38" s="466" t="s">
        <v>272</v>
      </c>
      <c r="AP38" s="466" t="s">
        <v>266</v>
      </c>
      <c r="AQ38" s="466" t="s">
        <v>266</v>
      </c>
      <c r="AR38" s="466" t="s">
        <v>193</v>
      </c>
      <c r="AS38" s="464" t="s">
        <v>193</v>
      </c>
      <c r="AT38" s="468" t="s">
        <v>1056</v>
      </c>
    </row>
    <row r="39" spans="1:46">
      <c r="A39" s="405"/>
      <c r="B39" s="460"/>
      <c r="C39" s="460"/>
      <c r="D39" s="460"/>
      <c r="E39" s="460"/>
      <c r="F39" s="461"/>
      <c r="G39" s="462" t="s">
        <v>994</v>
      </c>
      <c r="H39" s="463" t="s">
        <v>272</v>
      </c>
      <c r="I39" s="464" t="s">
        <v>193</v>
      </c>
      <c r="J39" s="464" t="s">
        <v>193</v>
      </c>
      <c r="K39" s="464" t="s">
        <v>193</v>
      </c>
      <c r="L39" s="464" t="s">
        <v>193</v>
      </c>
      <c r="M39" s="464" t="s">
        <v>193</v>
      </c>
      <c r="N39" s="464" t="s">
        <v>193</v>
      </c>
      <c r="O39" s="464" t="s">
        <v>193</v>
      </c>
      <c r="P39" s="465" t="s">
        <v>470</v>
      </c>
      <c r="Q39" s="464" t="s">
        <v>193</v>
      </c>
      <c r="R39" s="464" t="s">
        <v>193</v>
      </c>
      <c r="S39" s="464" t="s">
        <v>193</v>
      </c>
      <c r="T39" s="406" t="s">
        <v>193</v>
      </c>
      <c r="U39" s="464" t="s">
        <v>193</v>
      </c>
      <c r="V39" s="464" t="s">
        <v>193</v>
      </c>
      <c r="W39" s="464" t="s">
        <v>193</v>
      </c>
      <c r="X39" s="464" t="s">
        <v>193</v>
      </c>
      <c r="Y39" s="464" t="s">
        <v>193</v>
      </c>
      <c r="Z39" s="464" t="s">
        <v>193</v>
      </c>
      <c r="AA39" s="464" t="s">
        <v>193</v>
      </c>
      <c r="AB39" s="465" t="s">
        <v>470</v>
      </c>
      <c r="AC39" s="464" t="s">
        <v>193</v>
      </c>
      <c r="AD39" s="464" t="s">
        <v>193</v>
      </c>
      <c r="AE39" s="464" t="s">
        <v>193</v>
      </c>
      <c r="AF39" s="464" t="s">
        <v>193</v>
      </c>
      <c r="AG39" s="466"/>
      <c r="AH39" s="467"/>
      <c r="AI39" s="466"/>
      <c r="AJ39" s="466"/>
      <c r="AK39" s="466"/>
      <c r="AL39" s="466"/>
      <c r="AM39" s="466"/>
      <c r="AN39" s="466"/>
      <c r="AO39" s="466"/>
      <c r="AP39" s="466"/>
      <c r="AQ39" s="466"/>
      <c r="AR39" s="466"/>
      <c r="AS39" s="464"/>
      <c r="AT39" s="468"/>
    </row>
    <row r="40" spans="1:46">
      <c r="A40" s="405"/>
      <c r="B40" s="460"/>
      <c r="C40" s="460"/>
      <c r="D40" s="460"/>
      <c r="E40" s="460"/>
      <c r="F40" s="461"/>
      <c r="G40" s="462" t="s">
        <v>995</v>
      </c>
      <c r="H40" s="463" t="s">
        <v>272</v>
      </c>
      <c r="I40" s="464" t="s">
        <v>193</v>
      </c>
      <c r="J40" s="464" t="s">
        <v>193</v>
      </c>
      <c r="K40" s="464" t="s">
        <v>193</v>
      </c>
      <c r="L40" s="464" t="s">
        <v>193</v>
      </c>
      <c r="M40" s="464" t="s">
        <v>193</v>
      </c>
      <c r="N40" s="464" t="s">
        <v>193</v>
      </c>
      <c r="O40" s="464" t="s">
        <v>193</v>
      </c>
      <c r="P40" s="465" t="s">
        <v>470</v>
      </c>
      <c r="Q40" s="464" t="s">
        <v>193</v>
      </c>
      <c r="R40" s="464" t="s">
        <v>193</v>
      </c>
      <c r="S40" s="464" t="s">
        <v>193</v>
      </c>
      <c r="T40" s="406" t="s">
        <v>193</v>
      </c>
      <c r="U40" s="464" t="s">
        <v>193</v>
      </c>
      <c r="V40" s="464" t="s">
        <v>193</v>
      </c>
      <c r="W40" s="464" t="s">
        <v>193</v>
      </c>
      <c r="X40" s="464" t="s">
        <v>193</v>
      </c>
      <c r="Y40" s="464" t="s">
        <v>193</v>
      </c>
      <c r="Z40" s="464" t="s">
        <v>193</v>
      </c>
      <c r="AA40" s="464" t="s">
        <v>193</v>
      </c>
      <c r="AB40" s="465" t="s">
        <v>470</v>
      </c>
      <c r="AC40" s="464" t="s">
        <v>193</v>
      </c>
      <c r="AD40" s="464" t="s">
        <v>193</v>
      </c>
      <c r="AE40" s="464" t="s">
        <v>193</v>
      </c>
      <c r="AF40" s="464" t="s">
        <v>193</v>
      </c>
      <c r="AG40" s="466"/>
      <c r="AH40" s="467"/>
      <c r="AI40" s="466"/>
      <c r="AJ40" s="466"/>
      <c r="AK40" s="466"/>
      <c r="AL40" s="466"/>
      <c r="AM40" s="466"/>
      <c r="AN40" s="466"/>
      <c r="AO40" s="466"/>
      <c r="AP40" s="466"/>
      <c r="AQ40" s="466"/>
      <c r="AR40" s="466"/>
      <c r="AS40" s="464"/>
      <c r="AT40" s="468"/>
    </row>
    <row r="41" ht="39" spans="1:46">
      <c r="A41" s="405">
        <v>16</v>
      </c>
      <c r="B41" s="460" t="s">
        <v>1057</v>
      </c>
      <c r="C41" s="460" t="s">
        <v>1058</v>
      </c>
      <c r="D41" s="460" t="s">
        <v>1059</v>
      </c>
      <c r="E41" s="460" t="s">
        <v>282</v>
      </c>
      <c r="F41" s="461" t="s">
        <v>272</v>
      </c>
      <c r="G41" s="462" t="s">
        <v>987</v>
      </c>
      <c r="H41" s="463" t="s">
        <v>266</v>
      </c>
      <c r="I41" s="406" t="s">
        <v>193</v>
      </c>
      <c r="J41" s="406" t="s">
        <v>193</v>
      </c>
      <c r="K41" s="406" t="s">
        <v>193</v>
      </c>
      <c r="L41" s="464" t="s">
        <v>1058</v>
      </c>
      <c r="M41" s="464" t="s">
        <v>1059</v>
      </c>
      <c r="N41" s="464" t="s">
        <v>193</v>
      </c>
      <c r="O41" s="464" t="s">
        <v>193</v>
      </c>
      <c r="P41" s="465" t="s">
        <v>470</v>
      </c>
      <c r="Q41" s="464" t="s">
        <v>193</v>
      </c>
      <c r="R41" s="464" t="s">
        <v>193</v>
      </c>
      <c r="S41" s="464" t="s">
        <v>193</v>
      </c>
      <c r="T41" s="406" t="s">
        <v>193</v>
      </c>
      <c r="U41" s="464">
        <v>1</v>
      </c>
      <c r="V41" s="464">
        <v>0</v>
      </c>
      <c r="W41" s="464" t="s">
        <v>469</v>
      </c>
      <c r="X41" s="464" t="s">
        <v>193</v>
      </c>
      <c r="Y41" s="464" t="s">
        <v>193</v>
      </c>
      <c r="Z41" s="464" t="s">
        <v>193</v>
      </c>
      <c r="AA41" s="464" t="s">
        <v>193</v>
      </c>
      <c r="AB41" s="465" t="s">
        <v>470</v>
      </c>
      <c r="AC41" s="460"/>
      <c r="AD41" s="464"/>
      <c r="AE41" s="464" t="s">
        <v>193</v>
      </c>
      <c r="AF41" s="411" t="s">
        <v>93</v>
      </c>
      <c r="AG41" s="466" t="s">
        <v>272</v>
      </c>
      <c r="AH41" s="467" t="s">
        <v>272</v>
      </c>
      <c r="AI41" s="466" t="s">
        <v>266</v>
      </c>
      <c r="AJ41" s="466" t="s">
        <v>272</v>
      </c>
      <c r="AK41" s="466" t="s">
        <v>272</v>
      </c>
      <c r="AL41" s="466" t="s">
        <v>272</v>
      </c>
      <c r="AM41" s="466" t="s">
        <v>272</v>
      </c>
      <c r="AN41" s="466" t="s">
        <v>272</v>
      </c>
      <c r="AO41" s="466" t="s">
        <v>272</v>
      </c>
      <c r="AP41" s="466" t="s">
        <v>266</v>
      </c>
      <c r="AQ41" s="466" t="s">
        <v>266</v>
      </c>
      <c r="AR41" s="466" t="s">
        <v>193</v>
      </c>
      <c r="AS41" s="464" t="s">
        <v>193</v>
      </c>
      <c r="AT41" s="468" t="s">
        <v>1056</v>
      </c>
    </row>
    <row r="42" spans="1:46">
      <c r="A42" s="405"/>
      <c r="B42" s="460"/>
      <c r="C42" s="460"/>
      <c r="D42" s="460"/>
      <c r="E42" s="460"/>
      <c r="F42" s="461"/>
      <c r="G42" s="462" t="s">
        <v>994</v>
      </c>
      <c r="H42" s="463" t="s">
        <v>272</v>
      </c>
      <c r="I42" s="464" t="s">
        <v>193</v>
      </c>
      <c r="J42" s="464" t="s">
        <v>193</v>
      </c>
      <c r="K42" s="464" t="s">
        <v>193</v>
      </c>
      <c r="L42" s="464" t="s">
        <v>193</v>
      </c>
      <c r="M42" s="464" t="s">
        <v>193</v>
      </c>
      <c r="N42" s="464" t="s">
        <v>193</v>
      </c>
      <c r="O42" s="464" t="s">
        <v>193</v>
      </c>
      <c r="P42" s="465" t="s">
        <v>470</v>
      </c>
      <c r="Q42" s="464" t="s">
        <v>193</v>
      </c>
      <c r="R42" s="464" t="s">
        <v>193</v>
      </c>
      <c r="S42" s="464" t="s">
        <v>193</v>
      </c>
      <c r="T42" s="406" t="s">
        <v>193</v>
      </c>
      <c r="U42" s="464" t="s">
        <v>193</v>
      </c>
      <c r="V42" s="464" t="s">
        <v>193</v>
      </c>
      <c r="W42" s="464" t="s">
        <v>193</v>
      </c>
      <c r="X42" s="464" t="s">
        <v>193</v>
      </c>
      <c r="Y42" s="464" t="s">
        <v>193</v>
      </c>
      <c r="Z42" s="464" t="s">
        <v>193</v>
      </c>
      <c r="AA42" s="464" t="s">
        <v>193</v>
      </c>
      <c r="AB42" s="465" t="s">
        <v>470</v>
      </c>
      <c r="AC42" s="464" t="s">
        <v>193</v>
      </c>
      <c r="AD42" s="464" t="s">
        <v>193</v>
      </c>
      <c r="AE42" s="464" t="s">
        <v>193</v>
      </c>
      <c r="AF42" s="464" t="s">
        <v>193</v>
      </c>
      <c r="AG42" s="466"/>
      <c r="AH42" s="467"/>
      <c r="AI42" s="466"/>
      <c r="AJ42" s="466"/>
      <c r="AK42" s="466"/>
      <c r="AL42" s="466"/>
      <c r="AM42" s="466"/>
      <c r="AN42" s="466"/>
      <c r="AO42" s="466"/>
      <c r="AP42" s="466"/>
      <c r="AQ42" s="466"/>
      <c r="AR42" s="466"/>
      <c r="AS42" s="464"/>
      <c r="AT42" s="468"/>
    </row>
    <row r="43" spans="1:46">
      <c r="A43" s="405"/>
      <c r="B43" s="460"/>
      <c r="C43" s="460"/>
      <c r="D43" s="460"/>
      <c r="E43" s="460"/>
      <c r="F43" s="461"/>
      <c r="G43" s="462" t="s">
        <v>995</v>
      </c>
      <c r="H43" s="463" t="s">
        <v>272</v>
      </c>
      <c r="I43" s="464" t="s">
        <v>193</v>
      </c>
      <c r="J43" s="464" t="s">
        <v>193</v>
      </c>
      <c r="K43" s="464" t="s">
        <v>193</v>
      </c>
      <c r="L43" s="464" t="s">
        <v>193</v>
      </c>
      <c r="M43" s="464" t="s">
        <v>193</v>
      </c>
      <c r="N43" s="464" t="s">
        <v>193</v>
      </c>
      <c r="O43" s="464" t="s">
        <v>193</v>
      </c>
      <c r="P43" s="465" t="s">
        <v>470</v>
      </c>
      <c r="Q43" s="464" t="s">
        <v>193</v>
      </c>
      <c r="R43" s="464" t="s">
        <v>193</v>
      </c>
      <c r="S43" s="464" t="s">
        <v>193</v>
      </c>
      <c r="T43" s="406" t="s">
        <v>193</v>
      </c>
      <c r="U43" s="464" t="s">
        <v>193</v>
      </c>
      <c r="V43" s="464" t="s">
        <v>193</v>
      </c>
      <c r="W43" s="464" t="s">
        <v>193</v>
      </c>
      <c r="X43" s="464" t="s">
        <v>193</v>
      </c>
      <c r="Y43" s="464" t="s">
        <v>193</v>
      </c>
      <c r="Z43" s="464" t="s">
        <v>193</v>
      </c>
      <c r="AA43" s="464" t="s">
        <v>193</v>
      </c>
      <c r="AB43" s="465" t="s">
        <v>470</v>
      </c>
      <c r="AC43" s="464" t="s">
        <v>193</v>
      </c>
      <c r="AD43" s="464" t="s">
        <v>193</v>
      </c>
      <c r="AE43" s="464" t="s">
        <v>193</v>
      </c>
      <c r="AF43" s="464" t="s">
        <v>193</v>
      </c>
      <c r="AG43" s="466"/>
      <c r="AH43" s="467"/>
      <c r="AI43" s="466"/>
      <c r="AJ43" s="466"/>
      <c r="AK43" s="466"/>
      <c r="AL43" s="466"/>
      <c r="AM43" s="466"/>
      <c r="AN43" s="466"/>
      <c r="AO43" s="466"/>
      <c r="AP43" s="466"/>
      <c r="AQ43" s="466"/>
      <c r="AR43" s="466"/>
      <c r="AS43" s="464"/>
      <c r="AT43" s="468"/>
    </row>
    <row r="44" ht="26" spans="1:46">
      <c r="A44" s="405">
        <v>17</v>
      </c>
      <c r="B44" s="460" t="s">
        <v>1060</v>
      </c>
      <c r="C44" s="460" t="s">
        <v>1061</v>
      </c>
      <c r="D44" s="460" t="s">
        <v>1062</v>
      </c>
      <c r="E44" s="460" t="s">
        <v>282</v>
      </c>
      <c r="F44" s="461" t="s">
        <v>272</v>
      </c>
      <c r="G44" s="462" t="s">
        <v>987</v>
      </c>
      <c r="H44" s="463" t="s">
        <v>266</v>
      </c>
      <c r="I44" s="406" t="s">
        <v>193</v>
      </c>
      <c r="J44" s="406" t="s">
        <v>193</v>
      </c>
      <c r="K44" s="406" t="s">
        <v>193</v>
      </c>
      <c r="L44" s="464" t="s">
        <v>1061</v>
      </c>
      <c r="M44" s="464" t="s">
        <v>1062</v>
      </c>
      <c r="N44" s="464" t="s">
        <v>193</v>
      </c>
      <c r="O44" s="464" t="s">
        <v>193</v>
      </c>
      <c r="P44" s="465" t="s">
        <v>470</v>
      </c>
      <c r="Q44" s="464" t="s">
        <v>193</v>
      </c>
      <c r="R44" s="464" t="s">
        <v>193</v>
      </c>
      <c r="S44" s="464" t="s">
        <v>193</v>
      </c>
      <c r="T44" s="406" t="s">
        <v>193</v>
      </c>
      <c r="U44" s="464">
        <v>1</v>
      </c>
      <c r="V44" s="464">
        <v>0</v>
      </c>
      <c r="W44" s="464" t="s">
        <v>469</v>
      </c>
      <c r="X44" s="464" t="s">
        <v>193</v>
      </c>
      <c r="Y44" s="464" t="s">
        <v>193</v>
      </c>
      <c r="Z44" s="464" t="s">
        <v>193</v>
      </c>
      <c r="AA44" s="464" t="s">
        <v>193</v>
      </c>
      <c r="AB44" s="465" t="s">
        <v>470</v>
      </c>
      <c r="AC44" s="460"/>
      <c r="AD44" s="464"/>
      <c r="AE44" s="464" t="s">
        <v>193</v>
      </c>
      <c r="AF44" s="411" t="s">
        <v>93</v>
      </c>
      <c r="AG44" s="466" t="s">
        <v>272</v>
      </c>
      <c r="AH44" s="467" t="s">
        <v>272</v>
      </c>
      <c r="AI44" s="466" t="s">
        <v>266</v>
      </c>
      <c r="AJ44" s="466" t="s">
        <v>272</v>
      </c>
      <c r="AK44" s="466" t="s">
        <v>272</v>
      </c>
      <c r="AL44" s="466" t="s">
        <v>272</v>
      </c>
      <c r="AM44" s="466" t="s">
        <v>272</v>
      </c>
      <c r="AN44" s="466" t="s">
        <v>272</v>
      </c>
      <c r="AO44" s="466" t="s">
        <v>272</v>
      </c>
      <c r="AP44" s="466" t="s">
        <v>266</v>
      </c>
      <c r="AQ44" s="466" t="s">
        <v>266</v>
      </c>
      <c r="AR44" s="466" t="s">
        <v>193</v>
      </c>
      <c r="AS44" s="464" t="s">
        <v>193</v>
      </c>
      <c r="AT44" s="468" t="s">
        <v>1056</v>
      </c>
    </row>
    <row r="45" spans="1:46">
      <c r="A45" s="405"/>
      <c r="B45" s="460"/>
      <c r="C45" s="460"/>
      <c r="D45" s="460"/>
      <c r="E45" s="460"/>
      <c r="F45" s="461"/>
      <c r="G45" s="462" t="s">
        <v>994</v>
      </c>
      <c r="H45" s="463" t="s">
        <v>272</v>
      </c>
      <c r="I45" s="464" t="s">
        <v>193</v>
      </c>
      <c r="J45" s="464" t="s">
        <v>193</v>
      </c>
      <c r="K45" s="464" t="s">
        <v>193</v>
      </c>
      <c r="L45" s="464" t="s">
        <v>193</v>
      </c>
      <c r="M45" s="464" t="s">
        <v>193</v>
      </c>
      <c r="N45" s="464" t="s">
        <v>193</v>
      </c>
      <c r="O45" s="464" t="s">
        <v>193</v>
      </c>
      <c r="P45" s="465" t="s">
        <v>470</v>
      </c>
      <c r="Q45" s="464" t="s">
        <v>193</v>
      </c>
      <c r="R45" s="464" t="s">
        <v>193</v>
      </c>
      <c r="S45" s="464" t="s">
        <v>193</v>
      </c>
      <c r="T45" s="464" t="s">
        <v>193</v>
      </c>
      <c r="U45" s="464" t="s">
        <v>193</v>
      </c>
      <c r="V45" s="464" t="s">
        <v>193</v>
      </c>
      <c r="W45" s="464" t="s">
        <v>193</v>
      </c>
      <c r="X45" s="464" t="s">
        <v>193</v>
      </c>
      <c r="Y45" s="464" t="s">
        <v>193</v>
      </c>
      <c r="Z45" s="464" t="s">
        <v>193</v>
      </c>
      <c r="AA45" s="464" t="s">
        <v>193</v>
      </c>
      <c r="AB45" s="465" t="s">
        <v>470</v>
      </c>
      <c r="AC45" s="464" t="s">
        <v>193</v>
      </c>
      <c r="AD45" s="464" t="s">
        <v>193</v>
      </c>
      <c r="AE45" s="464" t="s">
        <v>193</v>
      </c>
      <c r="AF45" s="464" t="s">
        <v>193</v>
      </c>
      <c r="AG45" s="466"/>
      <c r="AH45" s="467"/>
      <c r="AI45" s="466"/>
      <c r="AJ45" s="466"/>
      <c r="AK45" s="466"/>
      <c r="AL45" s="466"/>
      <c r="AM45" s="466"/>
      <c r="AN45" s="466"/>
      <c r="AO45" s="466"/>
      <c r="AP45" s="466"/>
      <c r="AQ45" s="466"/>
      <c r="AR45" s="466"/>
      <c r="AS45" s="464"/>
      <c r="AT45" s="468"/>
    </row>
    <row r="46" ht="12.65" customHeight="1" spans="1:46">
      <c r="A46" s="405"/>
      <c r="B46" s="460"/>
      <c r="C46" s="460"/>
      <c r="D46" s="460"/>
      <c r="E46" s="460"/>
      <c r="F46" s="461"/>
      <c r="G46" s="462" t="s">
        <v>995</v>
      </c>
      <c r="H46" s="463" t="s">
        <v>272</v>
      </c>
      <c r="I46" s="464" t="s">
        <v>193</v>
      </c>
      <c r="J46" s="464" t="s">
        <v>193</v>
      </c>
      <c r="K46" s="464" t="s">
        <v>193</v>
      </c>
      <c r="L46" s="464" t="s">
        <v>193</v>
      </c>
      <c r="M46" s="464" t="s">
        <v>193</v>
      </c>
      <c r="N46" s="464" t="s">
        <v>193</v>
      </c>
      <c r="O46" s="464" t="s">
        <v>193</v>
      </c>
      <c r="P46" s="465" t="s">
        <v>470</v>
      </c>
      <c r="Q46" s="464" t="s">
        <v>193</v>
      </c>
      <c r="R46" s="464" t="s">
        <v>193</v>
      </c>
      <c r="S46" s="464" t="s">
        <v>193</v>
      </c>
      <c r="T46" s="464" t="s">
        <v>193</v>
      </c>
      <c r="U46" s="464" t="s">
        <v>193</v>
      </c>
      <c r="V46" s="464" t="s">
        <v>193</v>
      </c>
      <c r="W46" s="464" t="s">
        <v>193</v>
      </c>
      <c r="X46" s="464" t="s">
        <v>193</v>
      </c>
      <c r="Y46" s="464" t="s">
        <v>193</v>
      </c>
      <c r="Z46" s="464" t="s">
        <v>193</v>
      </c>
      <c r="AA46" s="464" t="s">
        <v>193</v>
      </c>
      <c r="AB46" s="465" t="s">
        <v>470</v>
      </c>
      <c r="AC46" s="464" t="s">
        <v>193</v>
      </c>
      <c r="AD46" s="464" t="s">
        <v>193</v>
      </c>
      <c r="AE46" s="464" t="s">
        <v>193</v>
      </c>
      <c r="AF46" s="464" t="s">
        <v>193</v>
      </c>
      <c r="AG46" s="466"/>
      <c r="AH46" s="467"/>
      <c r="AI46" s="466"/>
      <c r="AJ46" s="466"/>
      <c r="AK46" s="466"/>
      <c r="AL46" s="466"/>
      <c r="AM46" s="466"/>
      <c r="AN46" s="466"/>
      <c r="AO46" s="466"/>
      <c r="AP46" s="466"/>
      <c r="AQ46" s="466"/>
      <c r="AR46" s="466"/>
      <c r="AS46" s="464"/>
      <c r="AT46" s="468"/>
    </row>
    <row r="47" spans="1:46">
      <c r="A47" s="405">
        <v>18</v>
      </c>
      <c r="B47" s="460" t="s">
        <v>1063</v>
      </c>
      <c r="C47" s="460" t="s">
        <v>1064</v>
      </c>
      <c r="D47" s="460" t="s">
        <v>1065</v>
      </c>
      <c r="E47" s="460" t="s">
        <v>282</v>
      </c>
      <c r="F47" s="461" t="s">
        <v>272</v>
      </c>
      <c r="G47" s="462" t="s">
        <v>987</v>
      </c>
      <c r="H47" s="463" t="s">
        <v>266</v>
      </c>
      <c r="I47" s="464" t="s">
        <v>193</v>
      </c>
      <c r="J47" s="464" t="s">
        <v>193</v>
      </c>
      <c r="K47" s="464" t="s">
        <v>193</v>
      </c>
      <c r="L47" s="464" t="s">
        <v>1064</v>
      </c>
      <c r="M47" s="464" t="s">
        <v>1065</v>
      </c>
      <c r="N47" s="464" t="s">
        <v>193</v>
      </c>
      <c r="O47" s="464" t="s">
        <v>193</v>
      </c>
      <c r="P47" s="465" t="s">
        <v>470</v>
      </c>
      <c r="Q47" s="464" t="s">
        <v>193</v>
      </c>
      <c r="R47" s="464" t="s">
        <v>193</v>
      </c>
      <c r="S47" s="464" t="s">
        <v>193</v>
      </c>
      <c r="T47" s="464" t="s">
        <v>193</v>
      </c>
      <c r="U47" s="464">
        <v>1</v>
      </c>
      <c r="V47" s="464">
        <v>0</v>
      </c>
      <c r="W47" s="464" t="s">
        <v>469</v>
      </c>
      <c r="X47" s="464" t="s">
        <v>193</v>
      </c>
      <c r="Y47" s="464" t="s">
        <v>193</v>
      </c>
      <c r="Z47" s="464" t="s">
        <v>193</v>
      </c>
      <c r="AA47" s="464" t="s">
        <v>193</v>
      </c>
      <c r="AB47" s="465" t="s">
        <v>470</v>
      </c>
      <c r="AC47" s="460"/>
      <c r="AD47" s="464"/>
      <c r="AE47" s="464" t="s">
        <v>193</v>
      </c>
      <c r="AF47" s="411" t="s">
        <v>93</v>
      </c>
      <c r="AG47" s="466" t="s">
        <v>272</v>
      </c>
      <c r="AH47" s="467" t="s">
        <v>272</v>
      </c>
      <c r="AI47" s="466" t="s">
        <v>266</v>
      </c>
      <c r="AJ47" s="466" t="s">
        <v>272</v>
      </c>
      <c r="AK47" s="466" t="s">
        <v>272</v>
      </c>
      <c r="AL47" s="466" t="s">
        <v>272</v>
      </c>
      <c r="AM47" s="466" t="s">
        <v>272</v>
      </c>
      <c r="AN47" s="466" t="s">
        <v>272</v>
      </c>
      <c r="AO47" s="466" t="s">
        <v>272</v>
      </c>
      <c r="AP47" s="466" t="s">
        <v>266</v>
      </c>
      <c r="AQ47" s="466" t="s">
        <v>266</v>
      </c>
      <c r="AR47" s="466" t="s">
        <v>193</v>
      </c>
      <c r="AS47" s="464" t="s">
        <v>193</v>
      </c>
      <c r="AT47" s="468" t="s">
        <v>1056</v>
      </c>
    </row>
    <row r="48" spans="1:46">
      <c r="A48" s="405"/>
      <c r="B48" s="460"/>
      <c r="C48" s="460"/>
      <c r="D48" s="460"/>
      <c r="E48" s="460"/>
      <c r="F48" s="461"/>
      <c r="G48" s="462" t="s">
        <v>994</v>
      </c>
      <c r="H48" s="463" t="s">
        <v>272</v>
      </c>
      <c r="I48" s="464" t="s">
        <v>193</v>
      </c>
      <c r="J48" s="464" t="s">
        <v>193</v>
      </c>
      <c r="K48" s="464" t="s">
        <v>193</v>
      </c>
      <c r="L48" s="464" t="s">
        <v>193</v>
      </c>
      <c r="M48" s="464" t="s">
        <v>193</v>
      </c>
      <c r="N48" s="464" t="s">
        <v>193</v>
      </c>
      <c r="O48" s="464" t="s">
        <v>193</v>
      </c>
      <c r="P48" s="465" t="s">
        <v>470</v>
      </c>
      <c r="Q48" s="464" t="s">
        <v>193</v>
      </c>
      <c r="R48" s="464" t="s">
        <v>193</v>
      </c>
      <c r="S48" s="464" t="s">
        <v>193</v>
      </c>
      <c r="T48" s="464" t="s">
        <v>193</v>
      </c>
      <c r="U48" s="464" t="s">
        <v>193</v>
      </c>
      <c r="V48" s="464" t="s">
        <v>193</v>
      </c>
      <c r="W48" s="464" t="s">
        <v>193</v>
      </c>
      <c r="X48" s="464" t="s">
        <v>193</v>
      </c>
      <c r="Y48" s="464" t="s">
        <v>193</v>
      </c>
      <c r="Z48" s="464" t="s">
        <v>193</v>
      </c>
      <c r="AA48" s="464" t="s">
        <v>193</v>
      </c>
      <c r="AB48" s="465" t="s">
        <v>470</v>
      </c>
      <c r="AC48" s="464" t="s">
        <v>193</v>
      </c>
      <c r="AD48" s="464" t="s">
        <v>193</v>
      </c>
      <c r="AE48" s="464" t="s">
        <v>193</v>
      </c>
      <c r="AF48" s="464" t="s">
        <v>193</v>
      </c>
      <c r="AG48" s="466"/>
      <c r="AH48" s="467"/>
      <c r="AI48" s="466"/>
      <c r="AJ48" s="466"/>
      <c r="AK48" s="466"/>
      <c r="AL48" s="466"/>
      <c r="AM48" s="466"/>
      <c r="AN48" s="466"/>
      <c r="AO48" s="466"/>
      <c r="AP48" s="466"/>
      <c r="AQ48" s="466"/>
      <c r="AR48" s="466"/>
      <c r="AS48" s="464"/>
      <c r="AT48" s="468"/>
    </row>
    <row r="49" spans="1:46">
      <c r="A49" s="405"/>
      <c r="B49" s="460"/>
      <c r="C49" s="460"/>
      <c r="D49" s="460"/>
      <c r="E49" s="460"/>
      <c r="F49" s="461"/>
      <c r="G49" s="462" t="s">
        <v>995</v>
      </c>
      <c r="H49" s="463" t="s">
        <v>272</v>
      </c>
      <c r="I49" s="464" t="s">
        <v>193</v>
      </c>
      <c r="J49" s="464" t="s">
        <v>193</v>
      </c>
      <c r="K49" s="464" t="s">
        <v>193</v>
      </c>
      <c r="L49" s="464" t="s">
        <v>193</v>
      </c>
      <c r="M49" s="464" t="s">
        <v>193</v>
      </c>
      <c r="N49" s="464" t="s">
        <v>193</v>
      </c>
      <c r="O49" s="464" t="s">
        <v>193</v>
      </c>
      <c r="P49" s="465" t="s">
        <v>470</v>
      </c>
      <c r="Q49" s="464" t="s">
        <v>193</v>
      </c>
      <c r="R49" s="464" t="s">
        <v>193</v>
      </c>
      <c r="S49" s="464" t="s">
        <v>193</v>
      </c>
      <c r="T49" s="464" t="s">
        <v>193</v>
      </c>
      <c r="U49" s="464" t="s">
        <v>193</v>
      </c>
      <c r="V49" s="464" t="s">
        <v>193</v>
      </c>
      <c r="W49" s="464" t="s">
        <v>193</v>
      </c>
      <c r="X49" s="464" t="s">
        <v>193</v>
      </c>
      <c r="Y49" s="464" t="s">
        <v>193</v>
      </c>
      <c r="Z49" s="464" t="s">
        <v>193</v>
      </c>
      <c r="AA49" s="464" t="s">
        <v>193</v>
      </c>
      <c r="AB49" s="465" t="s">
        <v>470</v>
      </c>
      <c r="AC49" s="464" t="s">
        <v>193</v>
      </c>
      <c r="AD49" s="464" t="s">
        <v>193</v>
      </c>
      <c r="AE49" s="464" t="s">
        <v>193</v>
      </c>
      <c r="AF49" s="464" t="s">
        <v>193</v>
      </c>
      <c r="AG49" s="466"/>
      <c r="AH49" s="467"/>
      <c r="AI49" s="466"/>
      <c r="AJ49" s="466"/>
      <c r="AK49" s="466"/>
      <c r="AL49" s="466"/>
      <c r="AM49" s="466"/>
      <c r="AN49" s="466"/>
      <c r="AO49" s="466"/>
      <c r="AP49" s="466"/>
      <c r="AQ49" s="466"/>
      <c r="AR49" s="466"/>
      <c r="AS49" s="464"/>
      <c r="AT49" s="468"/>
    </row>
    <row r="50" spans="1:46">
      <c r="A50" s="405">
        <v>19</v>
      </c>
      <c r="B50" s="460" t="s">
        <v>1066</v>
      </c>
      <c r="C50" s="460" t="s">
        <v>1067</v>
      </c>
      <c r="D50" s="460" t="s">
        <v>1068</v>
      </c>
      <c r="E50" s="460" t="s">
        <v>282</v>
      </c>
      <c r="F50" s="461" t="s">
        <v>272</v>
      </c>
      <c r="G50" s="462" t="s">
        <v>987</v>
      </c>
      <c r="H50" s="463" t="s">
        <v>266</v>
      </c>
      <c r="I50" s="464" t="s">
        <v>193</v>
      </c>
      <c r="J50" s="464" t="s">
        <v>193</v>
      </c>
      <c r="K50" s="464" t="s">
        <v>193</v>
      </c>
      <c r="L50" s="464" t="s">
        <v>1067</v>
      </c>
      <c r="M50" s="464" t="s">
        <v>1068</v>
      </c>
      <c r="N50" s="464" t="s">
        <v>193</v>
      </c>
      <c r="O50" s="464" t="s">
        <v>193</v>
      </c>
      <c r="P50" s="465" t="s">
        <v>470</v>
      </c>
      <c r="Q50" s="464" t="s">
        <v>193</v>
      </c>
      <c r="R50" s="464" t="s">
        <v>193</v>
      </c>
      <c r="S50" s="464" t="s">
        <v>193</v>
      </c>
      <c r="T50" s="464" t="s">
        <v>193</v>
      </c>
      <c r="U50" s="464">
        <v>1</v>
      </c>
      <c r="V50" s="464">
        <v>0</v>
      </c>
      <c r="W50" s="464" t="s">
        <v>469</v>
      </c>
      <c r="X50" s="464" t="s">
        <v>193</v>
      </c>
      <c r="Y50" s="464" t="s">
        <v>193</v>
      </c>
      <c r="Z50" s="464" t="s">
        <v>193</v>
      </c>
      <c r="AA50" s="464" t="s">
        <v>193</v>
      </c>
      <c r="AB50" s="465" t="s">
        <v>470</v>
      </c>
      <c r="AC50" s="460"/>
      <c r="AD50" s="464"/>
      <c r="AE50" s="464" t="s">
        <v>193</v>
      </c>
      <c r="AF50" s="411" t="s">
        <v>93</v>
      </c>
      <c r="AG50" s="466" t="s">
        <v>272</v>
      </c>
      <c r="AH50" s="467" t="s">
        <v>272</v>
      </c>
      <c r="AI50" s="466" t="s">
        <v>266</v>
      </c>
      <c r="AJ50" s="466" t="s">
        <v>272</v>
      </c>
      <c r="AK50" s="466" t="s">
        <v>272</v>
      </c>
      <c r="AL50" s="466" t="s">
        <v>272</v>
      </c>
      <c r="AM50" s="466" t="s">
        <v>272</v>
      </c>
      <c r="AN50" s="466" t="s">
        <v>272</v>
      </c>
      <c r="AO50" s="466" t="s">
        <v>272</v>
      </c>
      <c r="AP50" s="466" t="s">
        <v>266</v>
      </c>
      <c r="AQ50" s="466" t="s">
        <v>266</v>
      </c>
      <c r="AR50" s="466" t="s">
        <v>193</v>
      </c>
      <c r="AS50" s="464" t="s">
        <v>193</v>
      </c>
      <c r="AT50" s="468" t="s">
        <v>1056</v>
      </c>
    </row>
    <row r="51" spans="1:46">
      <c r="A51" s="405"/>
      <c r="B51" s="460"/>
      <c r="C51" s="460"/>
      <c r="D51" s="460"/>
      <c r="E51" s="460"/>
      <c r="F51" s="461"/>
      <c r="G51" s="462" t="s">
        <v>994</v>
      </c>
      <c r="H51" s="463" t="s">
        <v>272</v>
      </c>
      <c r="I51" s="464" t="s">
        <v>193</v>
      </c>
      <c r="J51" s="464" t="s">
        <v>193</v>
      </c>
      <c r="K51" s="464" t="s">
        <v>193</v>
      </c>
      <c r="L51" s="464" t="s">
        <v>193</v>
      </c>
      <c r="M51" s="464" t="s">
        <v>193</v>
      </c>
      <c r="N51" s="464" t="s">
        <v>193</v>
      </c>
      <c r="O51" s="464" t="s">
        <v>193</v>
      </c>
      <c r="P51" s="465" t="s">
        <v>470</v>
      </c>
      <c r="Q51" s="464" t="s">
        <v>193</v>
      </c>
      <c r="R51" s="464" t="s">
        <v>193</v>
      </c>
      <c r="S51" s="464" t="s">
        <v>193</v>
      </c>
      <c r="T51" s="464" t="s">
        <v>193</v>
      </c>
      <c r="U51" s="464" t="s">
        <v>193</v>
      </c>
      <c r="V51" s="464" t="s">
        <v>193</v>
      </c>
      <c r="W51" s="464" t="s">
        <v>193</v>
      </c>
      <c r="X51" s="464" t="s">
        <v>193</v>
      </c>
      <c r="Y51" s="464" t="s">
        <v>193</v>
      </c>
      <c r="Z51" s="464" t="s">
        <v>193</v>
      </c>
      <c r="AA51" s="464" t="s">
        <v>193</v>
      </c>
      <c r="AB51" s="465" t="s">
        <v>470</v>
      </c>
      <c r="AC51" s="464" t="s">
        <v>193</v>
      </c>
      <c r="AD51" s="464" t="s">
        <v>193</v>
      </c>
      <c r="AE51" s="464" t="s">
        <v>193</v>
      </c>
      <c r="AF51" s="464" t="s">
        <v>193</v>
      </c>
      <c r="AG51" s="466"/>
      <c r="AH51" s="467"/>
      <c r="AI51" s="466"/>
      <c r="AJ51" s="466"/>
      <c r="AK51" s="466"/>
      <c r="AL51" s="466"/>
      <c r="AM51" s="466"/>
      <c r="AN51" s="466"/>
      <c r="AO51" s="466"/>
      <c r="AP51" s="466"/>
      <c r="AQ51" s="466"/>
      <c r="AR51" s="466"/>
      <c r="AS51" s="464"/>
      <c r="AT51" s="468"/>
    </row>
    <row r="52" spans="1:46">
      <c r="A52" s="405"/>
      <c r="B52" s="460"/>
      <c r="C52" s="460"/>
      <c r="D52" s="460"/>
      <c r="E52" s="460"/>
      <c r="F52" s="461"/>
      <c r="G52" s="462" t="s">
        <v>995</v>
      </c>
      <c r="H52" s="463" t="s">
        <v>272</v>
      </c>
      <c r="I52" s="464" t="s">
        <v>193</v>
      </c>
      <c r="J52" s="464" t="s">
        <v>193</v>
      </c>
      <c r="K52" s="464" t="s">
        <v>193</v>
      </c>
      <c r="L52" s="464" t="s">
        <v>193</v>
      </c>
      <c r="M52" s="464" t="s">
        <v>193</v>
      </c>
      <c r="N52" s="464" t="s">
        <v>193</v>
      </c>
      <c r="O52" s="464" t="s">
        <v>193</v>
      </c>
      <c r="P52" s="465" t="s">
        <v>470</v>
      </c>
      <c r="Q52" s="464" t="s">
        <v>193</v>
      </c>
      <c r="R52" s="464" t="s">
        <v>193</v>
      </c>
      <c r="S52" s="464" t="s">
        <v>193</v>
      </c>
      <c r="T52" s="464" t="s">
        <v>193</v>
      </c>
      <c r="U52" s="464" t="s">
        <v>193</v>
      </c>
      <c r="V52" s="464" t="s">
        <v>193</v>
      </c>
      <c r="W52" s="464" t="s">
        <v>193</v>
      </c>
      <c r="X52" s="464" t="s">
        <v>193</v>
      </c>
      <c r="Y52" s="464" t="s">
        <v>193</v>
      </c>
      <c r="Z52" s="464" t="s">
        <v>193</v>
      </c>
      <c r="AA52" s="464" t="s">
        <v>193</v>
      </c>
      <c r="AB52" s="465" t="s">
        <v>470</v>
      </c>
      <c r="AC52" s="464" t="s">
        <v>193</v>
      </c>
      <c r="AD52" s="464" t="s">
        <v>193</v>
      </c>
      <c r="AE52" s="464" t="s">
        <v>193</v>
      </c>
      <c r="AF52" s="464" t="s">
        <v>193</v>
      </c>
      <c r="AG52" s="466"/>
      <c r="AH52" s="467"/>
      <c r="AI52" s="466"/>
      <c r="AJ52" s="466"/>
      <c r="AK52" s="466"/>
      <c r="AL52" s="466"/>
      <c r="AM52" s="466"/>
      <c r="AN52" s="466"/>
      <c r="AO52" s="466"/>
      <c r="AP52" s="466"/>
      <c r="AQ52" s="466"/>
      <c r="AR52" s="466"/>
      <c r="AS52" s="464"/>
      <c r="AT52" s="468"/>
    </row>
    <row r="53" spans="1:46">
      <c r="A53" s="405">
        <v>20</v>
      </c>
      <c r="B53" s="460" t="s">
        <v>1069</v>
      </c>
      <c r="C53" s="460" t="s">
        <v>1070</v>
      </c>
      <c r="D53" s="460" t="s">
        <v>1071</v>
      </c>
      <c r="E53" s="460" t="s">
        <v>282</v>
      </c>
      <c r="F53" s="461" t="s">
        <v>272</v>
      </c>
      <c r="G53" s="462" t="s">
        <v>987</v>
      </c>
      <c r="H53" s="463" t="s">
        <v>266</v>
      </c>
      <c r="I53" s="464" t="s">
        <v>193</v>
      </c>
      <c r="J53" s="464" t="s">
        <v>193</v>
      </c>
      <c r="K53" s="464" t="s">
        <v>193</v>
      </c>
      <c r="L53" s="464" t="s">
        <v>1070</v>
      </c>
      <c r="M53" s="464" t="s">
        <v>1071</v>
      </c>
      <c r="N53" s="464" t="s">
        <v>193</v>
      </c>
      <c r="O53" s="464" t="s">
        <v>193</v>
      </c>
      <c r="P53" s="465" t="s">
        <v>470</v>
      </c>
      <c r="Q53" s="464" t="s">
        <v>193</v>
      </c>
      <c r="R53" s="464" t="s">
        <v>193</v>
      </c>
      <c r="S53" s="464" t="s">
        <v>193</v>
      </c>
      <c r="T53" s="464" t="s">
        <v>193</v>
      </c>
      <c r="U53" s="464">
        <v>1</v>
      </c>
      <c r="V53" s="464">
        <v>0</v>
      </c>
      <c r="W53" s="464" t="s">
        <v>469</v>
      </c>
      <c r="X53" s="464" t="s">
        <v>193</v>
      </c>
      <c r="Y53" s="464" t="s">
        <v>193</v>
      </c>
      <c r="Z53" s="464" t="s">
        <v>193</v>
      </c>
      <c r="AA53" s="464" t="s">
        <v>193</v>
      </c>
      <c r="AB53" s="465" t="s">
        <v>470</v>
      </c>
      <c r="AC53" s="460"/>
      <c r="AD53" s="464"/>
      <c r="AE53" s="464" t="s">
        <v>193</v>
      </c>
      <c r="AF53" s="411" t="s">
        <v>93</v>
      </c>
      <c r="AG53" s="466" t="s">
        <v>272</v>
      </c>
      <c r="AH53" s="467" t="s">
        <v>272</v>
      </c>
      <c r="AI53" s="466" t="s">
        <v>266</v>
      </c>
      <c r="AJ53" s="466" t="s">
        <v>272</v>
      </c>
      <c r="AK53" s="466" t="s">
        <v>272</v>
      </c>
      <c r="AL53" s="466" t="s">
        <v>272</v>
      </c>
      <c r="AM53" s="466" t="s">
        <v>272</v>
      </c>
      <c r="AN53" s="466" t="s">
        <v>272</v>
      </c>
      <c r="AO53" s="466" t="s">
        <v>272</v>
      </c>
      <c r="AP53" s="466" t="s">
        <v>266</v>
      </c>
      <c r="AQ53" s="466" t="s">
        <v>266</v>
      </c>
      <c r="AR53" s="466" t="s">
        <v>193</v>
      </c>
      <c r="AS53" s="464" t="s">
        <v>193</v>
      </c>
      <c r="AT53" s="468" t="s">
        <v>1056</v>
      </c>
    </row>
    <row r="54" spans="1:46">
      <c r="A54" s="405"/>
      <c r="B54" s="460"/>
      <c r="C54" s="460"/>
      <c r="D54" s="460"/>
      <c r="E54" s="460"/>
      <c r="F54" s="461"/>
      <c r="G54" s="462" t="s">
        <v>994</v>
      </c>
      <c r="H54" s="463" t="s">
        <v>272</v>
      </c>
      <c r="I54" s="464" t="s">
        <v>193</v>
      </c>
      <c r="J54" s="464" t="s">
        <v>193</v>
      </c>
      <c r="K54" s="464" t="s">
        <v>193</v>
      </c>
      <c r="L54" s="464" t="s">
        <v>193</v>
      </c>
      <c r="M54" s="464" t="s">
        <v>193</v>
      </c>
      <c r="N54" s="464" t="s">
        <v>193</v>
      </c>
      <c r="O54" s="464" t="s">
        <v>193</v>
      </c>
      <c r="P54" s="465" t="s">
        <v>470</v>
      </c>
      <c r="Q54" s="464" t="s">
        <v>193</v>
      </c>
      <c r="R54" s="464" t="s">
        <v>193</v>
      </c>
      <c r="S54" s="464" t="s">
        <v>193</v>
      </c>
      <c r="T54" s="464" t="s">
        <v>193</v>
      </c>
      <c r="U54" s="464" t="s">
        <v>193</v>
      </c>
      <c r="V54" s="464" t="s">
        <v>193</v>
      </c>
      <c r="W54" s="464" t="s">
        <v>193</v>
      </c>
      <c r="X54" s="464" t="s">
        <v>193</v>
      </c>
      <c r="Y54" s="464" t="s">
        <v>193</v>
      </c>
      <c r="Z54" s="464" t="s">
        <v>193</v>
      </c>
      <c r="AA54" s="464" t="s">
        <v>193</v>
      </c>
      <c r="AB54" s="465" t="s">
        <v>470</v>
      </c>
      <c r="AC54" s="464" t="s">
        <v>193</v>
      </c>
      <c r="AD54" s="464" t="s">
        <v>193</v>
      </c>
      <c r="AE54" s="464" t="s">
        <v>193</v>
      </c>
      <c r="AF54" s="464" t="s">
        <v>193</v>
      </c>
      <c r="AG54" s="466"/>
      <c r="AH54" s="467"/>
      <c r="AI54" s="466"/>
      <c r="AJ54" s="466"/>
      <c r="AK54" s="466"/>
      <c r="AL54" s="466"/>
      <c r="AM54" s="466"/>
      <c r="AN54" s="466"/>
      <c r="AO54" s="466"/>
      <c r="AP54" s="466"/>
      <c r="AQ54" s="466"/>
      <c r="AR54" s="466"/>
      <c r="AS54" s="464"/>
      <c r="AT54" s="468"/>
    </row>
    <row r="55" spans="1:46">
      <c r="A55" s="405"/>
      <c r="B55" s="460"/>
      <c r="C55" s="460"/>
      <c r="D55" s="460"/>
      <c r="E55" s="460"/>
      <c r="F55" s="461"/>
      <c r="G55" s="462" t="s">
        <v>995</v>
      </c>
      <c r="H55" s="463" t="s">
        <v>272</v>
      </c>
      <c r="I55" s="464" t="s">
        <v>193</v>
      </c>
      <c r="J55" s="464" t="s">
        <v>193</v>
      </c>
      <c r="K55" s="464" t="s">
        <v>193</v>
      </c>
      <c r="L55" s="464" t="s">
        <v>193</v>
      </c>
      <c r="M55" s="464" t="s">
        <v>193</v>
      </c>
      <c r="N55" s="464" t="s">
        <v>193</v>
      </c>
      <c r="O55" s="464" t="s">
        <v>193</v>
      </c>
      <c r="P55" s="465" t="s">
        <v>470</v>
      </c>
      <c r="Q55" s="464" t="s">
        <v>193</v>
      </c>
      <c r="R55" s="464" t="s">
        <v>193</v>
      </c>
      <c r="S55" s="464" t="s">
        <v>193</v>
      </c>
      <c r="T55" s="464" t="s">
        <v>193</v>
      </c>
      <c r="U55" s="464" t="s">
        <v>193</v>
      </c>
      <c r="V55" s="464" t="s">
        <v>193</v>
      </c>
      <c r="W55" s="464" t="s">
        <v>193</v>
      </c>
      <c r="X55" s="464" t="s">
        <v>193</v>
      </c>
      <c r="Y55" s="464" t="s">
        <v>193</v>
      </c>
      <c r="Z55" s="464" t="s">
        <v>193</v>
      </c>
      <c r="AA55" s="464" t="s">
        <v>193</v>
      </c>
      <c r="AB55" s="465" t="s">
        <v>470</v>
      </c>
      <c r="AC55" s="464" t="s">
        <v>193</v>
      </c>
      <c r="AD55" s="464" t="s">
        <v>193</v>
      </c>
      <c r="AE55" s="464" t="s">
        <v>193</v>
      </c>
      <c r="AF55" s="464" t="s">
        <v>193</v>
      </c>
      <c r="AG55" s="466"/>
      <c r="AH55" s="467"/>
      <c r="AI55" s="466"/>
      <c r="AJ55" s="466"/>
      <c r="AK55" s="466"/>
      <c r="AL55" s="466"/>
      <c r="AM55" s="466"/>
      <c r="AN55" s="466"/>
      <c r="AO55" s="466"/>
      <c r="AP55" s="466"/>
      <c r="AQ55" s="466"/>
      <c r="AR55" s="466"/>
      <c r="AS55" s="464"/>
      <c r="AT55" s="468"/>
    </row>
    <row r="56" spans="1:46">
      <c r="A56" s="405">
        <v>21</v>
      </c>
      <c r="B56" s="460" t="s">
        <v>1072</v>
      </c>
      <c r="C56" s="460" t="s">
        <v>1073</v>
      </c>
      <c r="D56" s="460" t="s">
        <v>1074</v>
      </c>
      <c r="E56" s="460" t="s">
        <v>282</v>
      </c>
      <c r="F56" s="461" t="s">
        <v>272</v>
      </c>
      <c r="G56" s="462" t="s">
        <v>987</v>
      </c>
      <c r="H56" s="463" t="s">
        <v>266</v>
      </c>
      <c r="I56" s="464" t="s">
        <v>193</v>
      </c>
      <c r="J56" s="464" t="s">
        <v>193</v>
      </c>
      <c r="K56" s="464" t="s">
        <v>193</v>
      </c>
      <c r="L56" s="464" t="s">
        <v>1073</v>
      </c>
      <c r="M56" s="464" t="s">
        <v>1074</v>
      </c>
      <c r="N56" s="464" t="s">
        <v>193</v>
      </c>
      <c r="O56" s="464" t="s">
        <v>193</v>
      </c>
      <c r="P56" s="465" t="s">
        <v>470</v>
      </c>
      <c r="Q56" s="464" t="s">
        <v>193</v>
      </c>
      <c r="R56" s="464" t="s">
        <v>193</v>
      </c>
      <c r="S56" s="464" t="s">
        <v>193</v>
      </c>
      <c r="T56" s="464" t="s">
        <v>193</v>
      </c>
      <c r="U56" s="464">
        <v>1</v>
      </c>
      <c r="V56" s="464">
        <v>0</v>
      </c>
      <c r="W56" s="464" t="s">
        <v>469</v>
      </c>
      <c r="X56" s="464" t="s">
        <v>193</v>
      </c>
      <c r="Y56" s="464" t="s">
        <v>193</v>
      </c>
      <c r="Z56" s="464" t="s">
        <v>193</v>
      </c>
      <c r="AA56" s="464" t="s">
        <v>193</v>
      </c>
      <c r="AB56" s="465" t="s">
        <v>470</v>
      </c>
      <c r="AC56" s="460"/>
      <c r="AD56" s="464"/>
      <c r="AE56" s="464" t="s">
        <v>193</v>
      </c>
      <c r="AF56" s="411" t="s">
        <v>93</v>
      </c>
      <c r="AG56" s="466" t="s">
        <v>272</v>
      </c>
      <c r="AH56" s="467" t="s">
        <v>272</v>
      </c>
      <c r="AI56" s="466" t="s">
        <v>266</v>
      </c>
      <c r="AJ56" s="466" t="s">
        <v>272</v>
      </c>
      <c r="AK56" s="466" t="s">
        <v>272</v>
      </c>
      <c r="AL56" s="466" t="s">
        <v>272</v>
      </c>
      <c r="AM56" s="466" t="s">
        <v>272</v>
      </c>
      <c r="AN56" s="466" t="s">
        <v>272</v>
      </c>
      <c r="AO56" s="466" t="s">
        <v>272</v>
      </c>
      <c r="AP56" s="466" t="s">
        <v>266</v>
      </c>
      <c r="AQ56" s="466" t="s">
        <v>266</v>
      </c>
      <c r="AR56" s="466" t="s">
        <v>193</v>
      </c>
      <c r="AS56" s="464" t="s">
        <v>193</v>
      </c>
      <c r="AT56" s="468" t="s">
        <v>1056</v>
      </c>
    </row>
    <row r="57" spans="1:46">
      <c r="A57" s="405"/>
      <c r="B57" s="460"/>
      <c r="C57" s="460"/>
      <c r="D57" s="460"/>
      <c r="E57" s="460"/>
      <c r="F57" s="461"/>
      <c r="G57" s="462" t="s">
        <v>994</v>
      </c>
      <c r="H57" s="463" t="s">
        <v>272</v>
      </c>
      <c r="I57" s="464" t="s">
        <v>193</v>
      </c>
      <c r="J57" s="464" t="s">
        <v>193</v>
      </c>
      <c r="K57" s="464" t="s">
        <v>193</v>
      </c>
      <c r="L57" s="464" t="s">
        <v>193</v>
      </c>
      <c r="M57" s="464" t="s">
        <v>193</v>
      </c>
      <c r="N57" s="464" t="s">
        <v>193</v>
      </c>
      <c r="O57" s="464" t="s">
        <v>193</v>
      </c>
      <c r="P57" s="465" t="s">
        <v>470</v>
      </c>
      <c r="Q57" s="464" t="s">
        <v>193</v>
      </c>
      <c r="R57" s="464" t="s">
        <v>193</v>
      </c>
      <c r="S57" s="464" t="s">
        <v>193</v>
      </c>
      <c r="T57" s="464" t="s">
        <v>193</v>
      </c>
      <c r="U57" s="464" t="s">
        <v>193</v>
      </c>
      <c r="V57" s="464" t="s">
        <v>193</v>
      </c>
      <c r="W57" s="464" t="s">
        <v>193</v>
      </c>
      <c r="X57" s="464" t="s">
        <v>193</v>
      </c>
      <c r="Y57" s="464" t="s">
        <v>193</v>
      </c>
      <c r="Z57" s="464" t="s">
        <v>193</v>
      </c>
      <c r="AA57" s="464" t="s">
        <v>193</v>
      </c>
      <c r="AB57" s="465" t="s">
        <v>470</v>
      </c>
      <c r="AC57" s="464" t="s">
        <v>193</v>
      </c>
      <c r="AD57" s="464" t="s">
        <v>193</v>
      </c>
      <c r="AE57" s="464" t="s">
        <v>193</v>
      </c>
      <c r="AF57" s="464" t="s">
        <v>193</v>
      </c>
      <c r="AG57" s="466"/>
      <c r="AH57" s="467"/>
      <c r="AI57" s="466"/>
      <c r="AJ57" s="466"/>
      <c r="AK57" s="466"/>
      <c r="AL57" s="466"/>
      <c r="AM57" s="466"/>
      <c r="AN57" s="466"/>
      <c r="AO57" s="466"/>
      <c r="AP57" s="466"/>
      <c r="AQ57" s="466"/>
      <c r="AR57" s="466"/>
      <c r="AS57" s="464"/>
      <c r="AT57" s="468"/>
    </row>
    <row r="58" spans="1:46">
      <c r="A58" s="405"/>
      <c r="B58" s="460"/>
      <c r="C58" s="460"/>
      <c r="D58" s="460"/>
      <c r="E58" s="460"/>
      <c r="F58" s="461"/>
      <c r="G58" s="462" t="s">
        <v>995</v>
      </c>
      <c r="H58" s="463" t="s">
        <v>272</v>
      </c>
      <c r="I58" s="464" t="s">
        <v>193</v>
      </c>
      <c r="J58" s="464" t="s">
        <v>193</v>
      </c>
      <c r="K58" s="464" t="s">
        <v>193</v>
      </c>
      <c r="L58" s="464" t="s">
        <v>193</v>
      </c>
      <c r="M58" s="464" t="s">
        <v>193</v>
      </c>
      <c r="N58" s="464" t="s">
        <v>193</v>
      </c>
      <c r="O58" s="464" t="s">
        <v>193</v>
      </c>
      <c r="P58" s="465" t="s">
        <v>470</v>
      </c>
      <c r="Q58" s="464" t="s">
        <v>193</v>
      </c>
      <c r="R58" s="464" t="s">
        <v>193</v>
      </c>
      <c r="S58" s="464" t="s">
        <v>193</v>
      </c>
      <c r="T58" s="464" t="s">
        <v>193</v>
      </c>
      <c r="U58" s="464" t="s">
        <v>193</v>
      </c>
      <c r="V58" s="464" t="s">
        <v>193</v>
      </c>
      <c r="W58" s="464" t="s">
        <v>193</v>
      </c>
      <c r="X58" s="464" t="s">
        <v>193</v>
      </c>
      <c r="Y58" s="464" t="s">
        <v>193</v>
      </c>
      <c r="Z58" s="464" t="s">
        <v>193</v>
      </c>
      <c r="AA58" s="464" t="s">
        <v>193</v>
      </c>
      <c r="AB58" s="465" t="s">
        <v>470</v>
      </c>
      <c r="AC58" s="464" t="s">
        <v>193</v>
      </c>
      <c r="AD58" s="464" t="s">
        <v>193</v>
      </c>
      <c r="AE58" s="464" t="s">
        <v>193</v>
      </c>
      <c r="AF58" s="464" t="s">
        <v>193</v>
      </c>
      <c r="AG58" s="466"/>
      <c r="AH58" s="467"/>
      <c r="AI58" s="466"/>
      <c r="AJ58" s="466"/>
      <c r="AK58" s="466"/>
      <c r="AL58" s="466"/>
      <c r="AM58" s="466"/>
      <c r="AN58" s="466"/>
      <c r="AO58" s="466"/>
      <c r="AP58" s="466"/>
      <c r="AQ58" s="466"/>
      <c r="AR58" s="466"/>
      <c r="AS58" s="464"/>
      <c r="AT58" s="468"/>
    </row>
    <row r="59" spans="1:46">
      <c r="A59" s="405">
        <v>22</v>
      </c>
      <c r="B59" s="460" t="s">
        <v>1075</v>
      </c>
      <c r="C59" s="460" t="s">
        <v>1076</v>
      </c>
      <c r="D59" s="460" t="s">
        <v>1077</v>
      </c>
      <c r="E59" s="460" t="s">
        <v>282</v>
      </c>
      <c r="F59" s="461" t="s">
        <v>272</v>
      </c>
      <c r="G59" s="462" t="s">
        <v>987</v>
      </c>
      <c r="H59" s="463" t="s">
        <v>266</v>
      </c>
      <c r="I59" s="464" t="s">
        <v>193</v>
      </c>
      <c r="J59" s="464" t="s">
        <v>193</v>
      </c>
      <c r="K59" s="464" t="s">
        <v>193</v>
      </c>
      <c r="L59" s="464" t="s">
        <v>1076</v>
      </c>
      <c r="M59" s="464" t="s">
        <v>1077</v>
      </c>
      <c r="N59" s="464" t="s">
        <v>193</v>
      </c>
      <c r="O59" s="464" t="s">
        <v>193</v>
      </c>
      <c r="P59" s="465" t="s">
        <v>470</v>
      </c>
      <c r="Q59" s="464" t="s">
        <v>193</v>
      </c>
      <c r="R59" s="464" t="s">
        <v>193</v>
      </c>
      <c r="S59" s="464" t="s">
        <v>193</v>
      </c>
      <c r="T59" s="464" t="s">
        <v>193</v>
      </c>
      <c r="U59" s="464">
        <v>1</v>
      </c>
      <c r="V59" s="464">
        <v>0</v>
      </c>
      <c r="W59" s="464" t="s">
        <v>469</v>
      </c>
      <c r="X59" s="464" t="s">
        <v>193</v>
      </c>
      <c r="Y59" s="464" t="s">
        <v>193</v>
      </c>
      <c r="Z59" s="464" t="s">
        <v>193</v>
      </c>
      <c r="AA59" s="464" t="s">
        <v>193</v>
      </c>
      <c r="AB59" s="465" t="s">
        <v>470</v>
      </c>
      <c r="AC59" s="460"/>
      <c r="AD59" s="464"/>
      <c r="AE59" s="464" t="s">
        <v>193</v>
      </c>
      <c r="AF59" s="411" t="s">
        <v>93</v>
      </c>
      <c r="AG59" s="466" t="s">
        <v>272</v>
      </c>
      <c r="AH59" s="467" t="s">
        <v>272</v>
      </c>
      <c r="AI59" s="466" t="s">
        <v>266</v>
      </c>
      <c r="AJ59" s="466" t="s">
        <v>272</v>
      </c>
      <c r="AK59" s="466" t="s">
        <v>272</v>
      </c>
      <c r="AL59" s="466" t="s">
        <v>272</v>
      </c>
      <c r="AM59" s="466" t="s">
        <v>272</v>
      </c>
      <c r="AN59" s="466" t="s">
        <v>272</v>
      </c>
      <c r="AO59" s="466" t="s">
        <v>272</v>
      </c>
      <c r="AP59" s="466" t="s">
        <v>266</v>
      </c>
      <c r="AQ59" s="466" t="s">
        <v>266</v>
      </c>
      <c r="AR59" s="466" t="s">
        <v>193</v>
      </c>
      <c r="AS59" s="464" t="s">
        <v>193</v>
      </c>
      <c r="AT59" s="468" t="s">
        <v>1056</v>
      </c>
    </row>
    <row r="60" spans="1:46">
      <c r="A60" s="405"/>
      <c r="B60" s="460"/>
      <c r="C60" s="460"/>
      <c r="D60" s="460"/>
      <c r="E60" s="460"/>
      <c r="F60" s="461"/>
      <c r="G60" s="462" t="s">
        <v>994</v>
      </c>
      <c r="H60" s="463" t="s">
        <v>272</v>
      </c>
      <c r="I60" s="464" t="s">
        <v>193</v>
      </c>
      <c r="J60" s="464" t="s">
        <v>193</v>
      </c>
      <c r="K60" s="464" t="s">
        <v>193</v>
      </c>
      <c r="L60" s="464" t="s">
        <v>193</v>
      </c>
      <c r="M60" s="464" t="s">
        <v>193</v>
      </c>
      <c r="N60" s="464" t="s">
        <v>193</v>
      </c>
      <c r="O60" s="464" t="s">
        <v>193</v>
      </c>
      <c r="P60" s="465" t="s">
        <v>470</v>
      </c>
      <c r="Q60" s="464" t="s">
        <v>193</v>
      </c>
      <c r="R60" s="464" t="s">
        <v>193</v>
      </c>
      <c r="S60" s="464" t="s">
        <v>193</v>
      </c>
      <c r="T60" s="464" t="s">
        <v>193</v>
      </c>
      <c r="U60" s="464" t="s">
        <v>193</v>
      </c>
      <c r="V60" s="464" t="s">
        <v>193</v>
      </c>
      <c r="W60" s="464" t="s">
        <v>193</v>
      </c>
      <c r="X60" s="464" t="s">
        <v>193</v>
      </c>
      <c r="Y60" s="464" t="s">
        <v>193</v>
      </c>
      <c r="Z60" s="464" t="s">
        <v>193</v>
      </c>
      <c r="AA60" s="464" t="s">
        <v>193</v>
      </c>
      <c r="AB60" s="465" t="s">
        <v>470</v>
      </c>
      <c r="AC60" s="464" t="s">
        <v>193</v>
      </c>
      <c r="AD60" s="464" t="s">
        <v>193</v>
      </c>
      <c r="AE60" s="464" t="s">
        <v>193</v>
      </c>
      <c r="AF60" s="464" t="s">
        <v>193</v>
      </c>
      <c r="AG60" s="466"/>
      <c r="AH60" s="467"/>
      <c r="AI60" s="466"/>
      <c r="AJ60" s="466"/>
      <c r="AK60" s="466"/>
      <c r="AL60" s="466"/>
      <c r="AM60" s="466"/>
      <c r="AN60" s="466"/>
      <c r="AO60" s="466"/>
      <c r="AP60" s="466"/>
      <c r="AQ60" s="466"/>
      <c r="AR60" s="466"/>
      <c r="AS60" s="464"/>
      <c r="AT60" s="468"/>
    </row>
    <row r="61" spans="1:46">
      <c r="A61" s="405"/>
      <c r="B61" s="460"/>
      <c r="C61" s="460"/>
      <c r="D61" s="460"/>
      <c r="E61" s="460"/>
      <c r="F61" s="461"/>
      <c r="G61" s="462" t="s">
        <v>995</v>
      </c>
      <c r="H61" s="463" t="s">
        <v>272</v>
      </c>
      <c r="I61" s="464" t="s">
        <v>193</v>
      </c>
      <c r="J61" s="464" t="s">
        <v>193</v>
      </c>
      <c r="K61" s="464" t="s">
        <v>193</v>
      </c>
      <c r="L61" s="464" t="s">
        <v>193</v>
      </c>
      <c r="M61" s="464" t="s">
        <v>193</v>
      </c>
      <c r="N61" s="464" t="s">
        <v>193</v>
      </c>
      <c r="O61" s="464" t="s">
        <v>193</v>
      </c>
      <c r="P61" s="465" t="s">
        <v>470</v>
      </c>
      <c r="Q61" s="464" t="s">
        <v>193</v>
      </c>
      <c r="R61" s="464" t="s">
        <v>193</v>
      </c>
      <c r="S61" s="464" t="s">
        <v>193</v>
      </c>
      <c r="T61" s="464" t="s">
        <v>193</v>
      </c>
      <c r="U61" s="464" t="s">
        <v>193</v>
      </c>
      <c r="V61" s="464" t="s">
        <v>193</v>
      </c>
      <c r="W61" s="464" t="s">
        <v>193</v>
      </c>
      <c r="X61" s="464" t="s">
        <v>193</v>
      </c>
      <c r="Y61" s="464" t="s">
        <v>193</v>
      </c>
      <c r="Z61" s="464" t="s">
        <v>193</v>
      </c>
      <c r="AA61" s="464" t="s">
        <v>193</v>
      </c>
      <c r="AB61" s="465" t="s">
        <v>470</v>
      </c>
      <c r="AC61" s="464" t="s">
        <v>193</v>
      </c>
      <c r="AD61" s="464" t="s">
        <v>193</v>
      </c>
      <c r="AE61" s="464" t="s">
        <v>193</v>
      </c>
      <c r="AF61" s="464" t="s">
        <v>193</v>
      </c>
      <c r="AG61" s="466"/>
      <c r="AH61" s="467"/>
      <c r="AI61" s="466"/>
      <c r="AJ61" s="466"/>
      <c r="AK61" s="466"/>
      <c r="AL61" s="466"/>
      <c r="AM61" s="466"/>
      <c r="AN61" s="466"/>
      <c r="AO61" s="466"/>
      <c r="AP61" s="466"/>
      <c r="AQ61" s="466"/>
      <c r="AR61" s="466"/>
      <c r="AS61" s="464"/>
      <c r="AT61" s="468"/>
    </row>
    <row r="62" s="378" customFormat="1" ht="14.5" spans="1:46">
      <c r="A62" s="469">
        <v>23</v>
      </c>
      <c r="B62" s="470" t="s">
        <v>1078</v>
      </c>
      <c r="C62" s="470" t="s">
        <v>829</v>
      </c>
      <c r="D62" s="470" t="s">
        <v>1079</v>
      </c>
      <c r="E62" s="470" t="s">
        <v>282</v>
      </c>
      <c r="F62" s="471" t="s">
        <v>266</v>
      </c>
      <c r="G62" s="472" t="s">
        <v>987</v>
      </c>
      <c r="H62" s="473" t="s">
        <v>272</v>
      </c>
      <c r="I62" s="474">
        <v>1</v>
      </c>
      <c r="J62" s="474">
        <v>1</v>
      </c>
      <c r="K62" s="474" t="s">
        <v>720</v>
      </c>
      <c r="L62" s="474" t="s">
        <v>1080</v>
      </c>
      <c r="M62" s="474" t="s">
        <v>1079</v>
      </c>
      <c r="N62" s="474" t="s">
        <v>193</v>
      </c>
      <c r="O62" s="474" t="s">
        <v>193</v>
      </c>
      <c r="P62" s="475" t="s">
        <v>470</v>
      </c>
      <c r="Q62" s="474" t="s">
        <v>1081</v>
      </c>
      <c r="R62" s="474" t="s">
        <v>1082</v>
      </c>
      <c r="S62" s="474" t="s">
        <v>193</v>
      </c>
      <c r="T62" s="474" t="s">
        <v>193</v>
      </c>
      <c r="U62" s="464">
        <v>1</v>
      </c>
      <c r="V62" s="464">
        <v>0</v>
      </c>
      <c r="W62" s="464" t="s">
        <v>469</v>
      </c>
      <c r="X62" s="474" t="s">
        <v>193</v>
      </c>
      <c r="Y62" s="474" t="s">
        <v>193</v>
      </c>
      <c r="Z62" s="474" t="s">
        <v>193</v>
      </c>
      <c r="AA62" s="474" t="s">
        <v>193</v>
      </c>
      <c r="AB62" s="475" t="s">
        <v>470</v>
      </c>
      <c r="AC62" s="474" t="s">
        <v>193</v>
      </c>
      <c r="AD62" s="474" t="s">
        <v>193</v>
      </c>
      <c r="AE62" s="474" t="s">
        <v>193</v>
      </c>
      <c r="AF62" s="474" t="s">
        <v>604</v>
      </c>
      <c r="AG62" s="476" t="s">
        <v>272</v>
      </c>
      <c r="AH62" s="476" t="s">
        <v>272</v>
      </c>
      <c r="AI62" s="476" t="s">
        <v>266</v>
      </c>
      <c r="AJ62" s="476" t="s">
        <v>272</v>
      </c>
      <c r="AK62" s="476" t="s">
        <v>272</v>
      </c>
      <c r="AL62" s="476" t="s">
        <v>272</v>
      </c>
      <c r="AM62" s="476" t="s">
        <v>272</v>
      </c>
      <c r="AN62" s="476" t="s">
        <v>266</v>
      </c>
      <c r="AO62" s="476" t="s">
        <v>272</v>
      </c>
      <c r="AP62" s="476" t="s">
        <v>266</v>
      </c>
      <c r="AQ62" s="476" t="s">
        <v>266</v>
      </c>
      <c r="AR62" s="476" t="s">
        <v>193</v>
      </c>
      <c r="AS62" s="476" t="s">
        <v>193</v>
      </c>
      <c r="AT62" s="477"/>
    </row>
    <row r="63" ht="65.75" spans="1:46">
      <c r="A63" s="478"/>
      <c r="B63" s="479"/>
      <c r="C63" s="479"/>
      <c r="D63" s="479"/>
      <c r="E63" s="480" t="s">
        <v>282</v>
      </c>
      <c r="F63" s="481" t="s">
        <v>266</v>
      </c>
      <c r="G63" s="480" t="s">
        <v>995</v>
      </c>
      <c r="H63" s="480" t="s">
        <v>272</v>
      </c>
      <c r="I63" s="482" t="s">
        <v>193</v>
      </c>
      <c r="J63" s="482" t="s">
        <v>193</v>
      </c>
      <c r="K63" s="480" t="s">
        <v>193</v>
      </c>
      <c r="L63" s="480" t="s">
        <v>1083</v>
      </c>
      <c r="M63" s="480" t="s">
        <v>1084</v>
      </c>
      <c r="N63" s="480" t="s">
        <v>193</v>
      </c>
      <c r="O63" s="480" t="s">
        <v>193</v>
      </c>
      <c r="P63" s="483" t="s">
        <v>470</v>
      </c>
      <c r="Q63" s="484" t="s">
        <v>193</v>
      </c>
      <c r="R63" s="484" t="s">
        <v>193</v>
      </c>
      <c r="S63" s="485" t="s">
        <v>193</v>
      </c>
      <c r="T63" s="485" t="s">
        <v>193</v>
      </c>
      <c r="U63" s="486" t="s">
        <v>193</v>
      </c>
      <c r="V63" s="486" t="s">
        <v>193</v>
      </c>
      <c r="W63" s="486" t="s">
        <v>193</v>
      </c>
      <c r="X63" s="485" t="s">
        <v>193</v>
      </c>
      <c r="Y63" s="485" t="s">
        <v>193</v>
      </c>
      <c r="Z63" s="485" t="s">
        <v>193</v>
      </c>
      <c r="AA63" s="485" t="s">
        <v>193</v>
      </c>
      <c r="AB63" s="483" t="s">
        <v>470</v>
      </c>
      <c r="AC63" s="487" t="s">
        <v>1085</v>
      </c>
      <c r="AD63" s="488" t="s">
        <v>1086</v>
      </c>
      <c r="AE63" s="485" t="s">
        <v>193</v>
      </c>
      <c r="AF63" s="485" t="s">
        <v>604</v>
      </c>
      <c r="AG63" s="489" t="s">
        <v>272</v>
      </c>
      <c r="AH63" s="489" t="s">
        <v>272</v>
      </c>
      <c r="AI63" s="489" t="s">
        <v>266</v>
      </c>
      <c r="AJ63" s="489" t="s">
        <v>272</v>
      </c>
      <c r="AK63" s="489" t="s">
        <v>272</v>
      </c>
      <c r="AL63" s="489" t="s">
        <v>272</v>
      </c>
      <c r="AM63" s="489" t="s">
        <v>272</v>
      </c>
      <c r="AN63" s="489" t="s">
        <v>266</v>
      </c>
      <c r="AO63" s="489" t="s">
        <v>272</v>
      </c>
      <c r="AP63" s="489" t="s">
        <v>266</v>
      </c>
      <c r="AQ63" s="489" t="s">
        <v>266</v>
      </c>
      <c r="AR63" s="489" t="s">
        <v>193</v>
      </c>
      <c r="AS63" s="489" t="s">
        <v>193</v>
      </c>
      <c r="AT63" s="490" t="s">
        <v>1087</v>
      </c>
    </row>
  </sheetData>
  <sheetProtection selectLockedCells="1" formatCells="0" formatColumns="0" formatRows="0" insertRows="0" insertColumns="0" insertHyperlinks="0" deleteColumns="0" deleteRows="0" sort="0" autoFilter="0" pivotTables="0"/>
  <mergeCells count="419">
    <mergeCell ref="I4:T4"/>
    <mergeCell ref="U4:AF4"/>
    <mergeCell ref="A4:A6"/>
    <mergeCell ref="A7:A9"/>
    <mergeCell ref="A10:A14"/>
    <mergeCell ref="A15:A17"/>
    <mergeCell ref="A18:A20"/>
    <mergeCell ref="A21:A23"/>
    <mergeCell ref="A24:A26"/>
    <mergeCell ref="A27:A29"/>
    <mergeCell ref="A30:A32"/>
    <mergeCell ref="A33:A37"/>
    <mergeCell ref="A38:A40"/>
    <mergeCell ref="A41:A43"/>
    <mergeCell ref="A44:A46"/>
    <mergeCell ref="A47:A49"/>
    <mergeCell ref="A50:A52"/>
    <mergeCell ref="A53:A55"/>
    <mergeCell ref="A56:A58"/>
    <mergeCell ref="A59:A61"/>
    <mergeCell ref="A62:A63"/>
    <mergeCell ref="B4:B6"/>
    <mergeCell ref="B7:B9"/>
    <mergeCell ref="B10:B14"/>
    <mergeCell ref="B15:B17"/>
    <mergeCell ref="B18:B20"/>
    <mergeCell ref="B21:B23"/>
    <mergeCell ref="B24:B26"/>
    <mergeCell ref="B27:B29"/>
    <mergeCell ref="B30:B32"/>
    <mergeCell ref="B33:B37"/>
    <mergeCell ref="B38:B40"/>
    <mergeCell ref="B41:B43"/>
    <mergeCell ref="B44:B46"/>
    <mergeCell ref="B47:B49"/>
    <mergeCell ref="B50:B52"/>
    <mergeCell ref="B53:B55"/>
    <mergeCell ref="B56:B58"/>
    <mergeCell ref="B59:B61"/>
    <mergeCell ref="B62:B63"/>
    <mergeCell ref="C4:C6"/>
    <mergeCell ref="C7:C9"/>
    <mergeCell ref="C10:C14"/>
    <mergeCell ref="C15:C17"/>
    <mergeCell ref="C18:C20"/>
    <mergeCell ref="C21:C23"/>
    <mergeCell ref="C24:C26"/>
    <mergeCell ref="C27:C29"/>
    <mergeCell ref="C30:C32"/>
    <mergeCell ref="C33:C37"/>
    <mergeCell ref="C38:C40"/>
    <mergeCell ref="C41:C43"/>
    <mergeCell ref="C44:C46"/>
    <mergeCell ref="C47:C49"/>
    <mergeCell ref="C50:C52"/>
    <mergeCell ref="C53:C55"/>
    <mergeCell ref="C56:C58"/>
    <mergeCell ref="C59:C61"/>
    <mergeCell ref="C62:C63"/>
    <mergeCell ref="D4:D6"/>
    <mergeCell ref="D7:D9"/>
    <mergeCell ref="D10:D14"/>
    <mergeCell ref="D15:D17"/>
    <mergeCell ref="D18:D20"/>
    <mergeCell ref="D21:D23"/>
    <mergeCell ref="D24:D26"/>
    <mergeCell ref="D27:D29"/>
    <mergeCell ref="D30:D32"/>
    <mergeCell ref="D33:D37"/>
    <mergeCell ref="D38:D40"/>
    <mergeCell ref="D41:D43"/>
    <mergeCell ref="D44:D46"/>
    <mergeCell ref="D47:D49"/>
    <mergeCell ref="D50:D52"/>
    <mergeCell ref="D53:D55"/>
    <mergeCell ref="D56:D58"/>
    <mergeCell ref="D59:D61"/>
    <mergeCell ref="D62:D63"/>
    <mergeCell ref="E4:E6"/>
    <mergeCell ref="E7:E9"/>
    <mergeCell ref="E10:E14"/>
    <mergeCell ref="E15:E17"/>
    <mergeCell ref="E18:E20"/>
    <mergeCell ref="E21:E23"/>
    <mergeCell ref="E24:E26"/>
    <mergeCell ref="E27:E29"/>
    <mergeCell ref="E30:E32"/>
    <mergeCell ref="E33:E37"/>
    <mergeCell ref="E38:E40"/>
    <mergeCell ref="E41:E43"/>
    <mergeCell ref="E44:E46"/>
    <mergeCell ref="E47:E49"/>
    <mergeCell ref="E50:E52"/>
    <mergeCell ref="E53:E55"/>
    <mergeCell ref="E56:E58"/>
    <mergeCell ref="E59:E61"/>
    <mergeCell ref="F4:F6"/>
    <mergeCell ref="F7:F9"/>
    <mergeCell ref="F10:F14"/>
    <mergeCell ref="F15:F17"/>
    <mergeCell ref="F18:F20"/>
    <mergeCell ref="F21:F23"/>
    <mergeCell ref="F24:F26"/>
    <mergeCell ref="F27:F29"/>
    <mergeCell ref="F30:F32"/>
    <mergeCell ref="F33:F37"/>
    <mergeCell ref="F38:F40"/>
    <mergeCell ref="F41:F43"/>
    <mergeCell ref="F44:F46"/>
    <mergeCell ref="F47:F49"/>
    <mergeCell ref="F50:F52"/>
    <mergeCell ref="F53:F55"/>
    <mergeCell ref="F56:F58"/>
    <mergeCell ref="F59:F61"/>
    <mergeCell ref="G4:G6"/>
    <mergeCell ref="G10:G12"/>
    <mergeCell ref="G33:G35"/>
    <mergeCell ref="H4:H6"/>
    <mergeCell ref="H10:H12"/>
    <mergeCell ref="H33:H35"/>
    <mergeCell ref="I5:I6"/>
    <mergeCell ref="I10:I12"/>
    <mergeCell ref="I33:I35"/>
    <mergeCell ref="J5:J6"/>
    <mergeCell ref="K5:K6"/>
    <mergeCell ref="L5:L6"/>
    <mergeCell ref="M5:M6"/>
    <mergeCell ref="N5:N6"/>
    <mergeCell ref="O5:O6"/>
    <mergeCell ref="P5:P6"/>
    <mergeCell ref="Q5:Q6"/>
    <mergeCell ref="Q11:Q13"/>
    <mergeCell ref="R5:R6"/>
    <mergeCell ref="R11:R13"/>
    <mergeCell ref="S5:S6"/>
    <mergeCell ref="T5:T6"/>
    <mergeCell ref="U5:U6"/>
    <mergeCell ref="U10:U12"/>
    <mergeCell ref="U33:U35"/>
    <mergeCell ref="V5:V6"/>
    <mergeCell ref="V10:V12"/>
    <mergeCell ref="V33:V35"/>
    <mergeCell ref="W5:W6"/>
    <mergeCell ref="W10:W12"/>
    <mergeCell ref="W33:W35"/>
    <mergeCell ref="X5:X6"/>
    <mergeCell ref="X11:X12"/>
    <mergeCell ref="X33:X35"/>
    <mergeCell ref="Y5:Y6"/>
    <mergeCell ref="Y11:Y12"/>
    <mergeCell ref="Y33:Y35"/>
    <mergeCell ref="Z5:Z6"/>
    <mergeCell ref="Z11:Z12"/>
    <mergeCell ref="Z33:Z35"/>
    <mergeCell ref="AA5:AA6"/>
    <mergeCell ref="AA11:AA12"/>
    <mergeCell ref="AA33:AA35"/>
    <mergeCell ref="AB5:AB6"/>
    <mergeCell ref="AB10:AB12"/>
    <mergeCell ref="AB33:AB35"/>
    <mergeCell ref="AC5:AC6"/>
    <mergeCell ref="AC10:AC12"/>
    <mergeCell ref="AC33:AC35"/>
    <mergeCell ref="AD5:AD6"/>
    <mergeCell ref="AD10:AD12"/>
    <mergeCell ref="AD33:AD35"/>
    <mergeCell ref="AE5:AE6"/>
    <mergeCell ref="AE10:AE12"/>
    <mergeCell ref="AE33:AE35"/>
    <mergeCell ref="AF5:AF6"/>
    <mergeCell ref="AF10:AF12"/>
    <mergeCell ref="AF33:AF35"/>
    <mergeCell ref="AG7:AG9"/>
    <mergeCell ref="AG10:AG14"/>
    <mergeCell ref="AG15:AG17"/>
    <mergeCell ref="AG18:AG20"/>
    <mergeCell ref="AG21:AG23"/>
    <mergeCell ref="AG24:AG26"/>
    <mergeCell ref="AG27:AG29"/>
    <mergeCell ref="AG30:AG32"/>
    <mergeCell ref="AG33:AG37"/>
    <mergeCell ref="AG38:AG40"/>
    <mergeCell ref="AG41:AG43"/>
    <mergeCell ref="AG44:AG46"/>
    <mergeCell ref="AG47:AG49"/>
    <mergeCell ref="AG50:AG52"/>
    <mergeCell ref="AG53:AG55"/>
    <mergeCell ref="AG56:AG58"/>
    <mergeCell ref="AG59:AG61"/>
    <mergeCell ref="AH7:AH9"/>
    <mergeCell ref="AH10:AH14"/>
    <mergeCell ref="AH15:AH17"/>
    <mergeCell ref="AH18:AH20"/>
    <mergeCell ref="AH21:AH23"/>
    <mergeCell ref="AH24:AH26"/>
    <mergeCell ref="AH27:AH29"/>
    <mergeCell ref="AH30:AH32"/>
    <mergeCell ref="AH33:AH37"/>
    <mergeCell ref="AH38:AH40"/>
    <mergeCell ref="AH41:AH43"/>
    <mergeCell ref="AH44:AH46"/>
    <mergeCell ref="AH47:AH49"/>
    <mergeCell ref="AH50:AH52"/>
    <mergeCell ref="AH53:AH55"/>
    <mergeCell ref="AH56:AH58"/>
    <mergeCell ref="AH59:AH61"/>
    <mergeCell ref="AI7:AI9"/>
    <mergeCell ref="AI10:AI14"/>
    <mergeCell ref="AI15:AI17"/>
    <mergeCell ref="AI18:AI20"/>
    <mergeCell ref="AI21:AI23"/>
    <mergeCell ref="AI24:AI26"/>
    <mergeCell ref="AI27:AI29"/>
    <mergeCell ref="AI30:AI32"/>
    <mergeCell ref="AI33:AI37"/>
    <mergeCell ref="AI38:AI40"/>
    <mergeCell ref="AI41:AI43"/>
    <mergeCell ref="AI44:AI46"/>
    <mergeCell ref="AI47:AI49"/>
    <mergeCell ref="AI50:AI52"/>
    <mergeCell ref="AI53:AI55"/>
    <mergeCell ref="AI56:AI58"/>
    <mergeCell ref="AI59:AI61"/>
    <mergeCell ref="AJ7:AJ9"/>
    <mergeCell ref="AJ10:AJ14"/>
    <mergeCell ref="AJ15:AJ17"/>
    <mergeCell ref="AJ18:AJ20"/>
    <mergeCell ref="AJ21:AJ23"/>
    <mergeCell ref="AJ24:AJ26"/>
    <mergeCell ref="AJ27:AJ29"/>
    <mergeCell ref="AJ30:AJ32"/>
    <mergeCell ref="AJ33:AJ37"/>
    <mergeCell ref="AJ38:AJ40"/>
    <mergeCell ref="AJ41:AJ43"/>
    <mergeCell ref="AJ44:AJ46"/>
    <mergeCell ref="AJ47:AJ49"/>
    <mergeCell ref="AJ50:AJ52"/>
    <mergeCell ref="AJ53:AJ55"/>
    <mergeCell ref="AJ56:AJ58"/>
    <mergeCell ref="AJ59:AJ61"/>
    <mergeCell ref="AK7:AK9"/>
    <mergeCell ref="AK10:AK14"/>
    <mergeCell ref="AK15:AK17"/>
    <mergeCell ref="AK18:AK20"/>
    <mergeCell ref="AK21:AK23"/>
    <mergeCell ref="AK24:AK26"/>
    <mergeCell ref="AK27:AK29"/>
    <mergeCell ref="AK30:AK32"/>
    <mergeCell ref="AK33:AK37"/>
    <mergeCell ref="AK38:AK40"/>
    <mergeCell ref="AK41:AK43"/>
    <mergeCell ref="AK44:AK46"/>
    <mergeCell ref="AK47:AK49"/>
    <mergeCell ref="AK50:AK52"/>
    <mergeCell ref="AK53:AK55"/>
    <mergeCell ref="AK56:AK58"/>
    <mergeCell ref="AK59:AK61"/>
    <mergeCell ref="AL7:AL9"/>
    <mergeCell ref="AL10:AL14"/>
    <mergeCell ref="AL15:AL17"/>
    <mergeCell ref="AL18:AL20"/>
    <mergeCell ref="AL21:AL23"/>
    <mergeCell ref="AL24:AL26"/>
    <mergeCell ref="AL27:AL29"/>
    <mergeCell ref="AL30:AL32"/>
    <mergeCell ref="AL33:AL37"/>
    <mergeCell ref="AL38:AL40"/>
    <mergeCell ref="AL41:AL43"/>
    <mergeCell ref="AL44:AL46"/>
    <mergeCell ref="AL47:AL49"/>
    <mergeCell ref="AL50:AL52"/>
    <mergeCell ref="AL53:AL55"/>
    <mergeCell ref="AL56:AL58"/>
    <mergeCell ref="AL59:AL61"/>
    <mergeCell ref="AM7:AM9"/>
    <mergeCell ref="AM10:AM14"/>
    <mergeCell ref="AM15:AM17"/>
    <mergeCell ref="AM18:AM20"/>
    <mergeCell ref="AM21:AM23"/>
    <mergeCell ref="AM24:AM26"/>
    <mergeCell ref="AM27:AM29"/>
    <mergeCell ref="AM30:AM32"/>
    <mergeCell ref="AM33:AM37"/>
    <mergeCell ref="AM38:AM40"/>
    <mergeCell ref="AM41:AM43"/>
    <mergeCell ref="AM44:AM46"/>
    <mergeCell ref="AM47:AM49"/>
    <mergeCell ref="AM50:AM52"/>
    <mergeCell ref="AM53:AM55"/>
    <mergeCell ref="AM56:AM58"/>
    <mergeCell ref="AM59:AM61"/>
    <mergeCell ref="AN7:AN9"/>
    <mergeCell ref="AN10:AN14"/>
    <mergeCell ref="AN15:AN17"/>
    <mergeCell ref="AN18:AN20"/>
    <mergeCell ref="AN21:AN23"/>
    <mergeCell ref="AN24:AN26"/>
    <mergeCell ref="AN27:AN29"/>
    <mergeCell ref="AN30:AN32"/>
    <mergeCell ref="AN33:AN37"/>
    <mergeCell ref="AN38:AN40"/>
    <mergeCell ref="AN41:AN43"/>
    <mergeCell ref="AN44:AN46"/>
    <mergeCell ref="AN47:AN49"/>
    <mergeCell ref="AN50:AN52"/>
    <mergeCell ref="AN53:AN55"/>
    <mergeCell ref="AN56:AN58"/>
    <mergeCell ref="AN59:AN61"/>
    <mergeCell ref="AO7:AO9"/>
    <mergeCell ref="AO10:AO14"/>
    <mergeCell ref="AO15:AO17"/>
    <mergeCell ref="AO18:AO20"/>
    <mergeCell ref="AO21:AO23"/>
    <mergeCell ref="AO24:AO26"/>
    <mergeCell ref="AO27:AO29"/>
    <mergeCell ref="AO30:AO32"/>
    <mergeCell ref="AO33:AO37"/>
    <mergeCell ref="AO38:AO40"/>
    <mergeCell ref="AO41:AO43"/>
    <mergeCell ref="AO44:AO46"/>
    <mergeCell ref="AO47:AO49"/>
    <mergeCell ref="AO50:AO52"/>
    <mergeCell ref="AO53:AO55"/>
    <mergeCell ref="AO56:AO58"/>
    <mergeCell ref="AO59:AO61"/>
    <mergeCell ref="AP4:AP6"/>
    <mergeCell ref="AP7:AP9"/>
    <mergeCell ref="AP10:AP14"/>
    <mergeCell ref="AP15:AP17"/>
    <mergeCell ref="AP18:AP20"/>
    <mergeCell ref="AP21:AP23"/>
    <mergeCell ref="AP24:AP26"/>
    <mergeCell ref="AP27:AP29"/>
    <mergeCell ref="AP30:AP32"/>
    <mergeCell ref="AP33:AP37"/>
    <mergeCell ref="AP38:AP40"/>
    <mergeCell ref="AP41:AP43"/>
    <mergeCell ref="AP44:AP46"/>
    <mergeCell ref="AP47:AP49"/>
    <mergeCell ref="AP50:AP52"/>
    <mergeCell ref="AP53:AP55"/>
    <mergeCell ref="AP56:AP58"/>
    <mergeCell ref="AP59:AP61"/>
    <mergeCell ref="AQ4:AQ6"/>
    <mergeCell ref="AQ7:AQ9"/>
    <mergeCell ref="AQ10:AQ14"/>
    <mergeCell ref="AQ15:AQ17"/>
    <mergeCell ref="AQ18:AQ20"/>
    <mergeCell ref="AQ21:AQ23"/>
    <mergeCell ref="AQ24:AQ26"/>
    <mergeCell ref="AQ27:AQ29"/>
    <mergeCell ref="AQ30:AQ32"/>
    <mergeCell ref="AQ33:AQ37"/>
    <mergeCell ref="AQ38:AQ40"/>
    <mergeCell ref="AQ41:AQ43"/>
    <mergeCell ref="AQ44:AQ46"/>
    <mergeCell ref="AQ47:AQ49"/>
    <mergeCell ref="AQ50:AQ52"/>
    <mergeCell ref="AQ53:AQ55"/>
    <mergeCell ref="AQ56:AQ58"/>
    <mergeCell ref="AQ59:AQ61"/>
    <mergeCell ref="AR4:AR6"/>
    <mergeCell ref="AR7:AR9"/>
    <mergeCell ref="AR10:AR14"/>
    <mergeCell ref="AR15:AR17"/>
    <mergeCell ref="AR18:AR20"/>
    <mergeCell ref="AR21:AR23"/>
    <mergeCell ref="AR24:AR26"/>
    <mergeCell ref="AR27:AR29"/>
    <mergeCell ref="AR30:AR32"/>
    <mergeCell ref="AR33:AR37"/>
    <mergeCell ref="AR38:AR40"/>
    <mergeCell ref="AR41:AR43"/>
    <mergeCell ref="AR44:AR46"/>
    <mergeCell ref="AR47:AR49"/>
    <mergeCell ref="AR50:AR52"/>
    <mergeCell ref="AR53:AR55"/>
    <mergeCell ref="AR56:AR58"/>
    <mergeCell ref="AR59:AR61"/>
    <mergeCell ref="AS4:AS6"/>
    <mergeCell ref="AS7:AS9"/>
    <mergeCell ref="AS10:AS14"/>
    <mergeCell ref="AS15:AS17"/>
    <mergeCell ref="AS18:AS20"/>
    <mergeCell ref="AS21:AS23"/>
    <mergeCell ref="AS24:AS26"/>
    <mergeCell ref="AS27:AS29"/>
    <mergeCell ref="AS30:AS32"/>
    <mergeCell ref="AS33:AS37"/>
    <mergeCell ref="AS38:AS40"/>
    <mergeCell ref="AS41:AS43"/>
    <mergeCell ref="AS44:AS46"/>
    <mergeCell ref="AS47:AS49"/>
    <mergeCell ref="AS50:AS52"/>
    <mergeCell ref="AS53:AS55"/>
    <mergeCell ref="AS56:AS58"/>
    <mergeCell ref="AS59:AS61"/>
    <mergeCell ref="AT4:AT6"/>
    <mergeCell ref="AT7:AT9"/>
    <mergeCell ref="AT10:AT14"/>
    <mergeCell ref="AT15:AT17"/>
    <mergeCell ref="AT18:AT20"/>
    <mergeCell ref="AT21:AT23"/>
    <mergeCell ref="AT24:AT26"/>
    <mergeCell ref="AT27:AT29"/>
    <mergeCell ref="AT30:AT32"/>
    <mergeCell ref="AT33:AT37"/>
    <mergeCell ref="AT38:AT40"/>
    <mergeCell ref="AT41:AT43"/>
    <mergeCell ref="AT44:AT46"/>
    <mergeCell ref="AT47:AT49"/>
    <mergeCell ref="AT50:AT52"/>
    <mergeCell ref="AT53:AT55"/>
    <mergeCell ref="AT56:AT58"/>
    <mergeCell ref="AT59:AT61"/>
    <mergeCell ref="A1:G3"/>
    <mergeCell ref="AG4:AI5"/>
    <mergeCell ref="AJ4:AL5"/>
    <mergeCell ref="AM4:AO5"/>
  </mergeCells>
  <conditionalFormatting sqref="N5:S5">
    <cfRule type="cellIs" dxfId="5" priority="9" stopIfTrue="1" operator="equal">
      <formula>"tbd"</formula>
    </cfRule>
  </conditionalFormatting>
  <conditionalFormatting sqref="Z5:AE5">
    <cfRule type="cellIs" dxfId="5" priority="1" stopIfTrue="1" operator="equal">
      <formula>"tbd"</formula>
    </cfRule>
  </conditionalFormatting>
  <dataValidations count="6">
    <dataValidation type="list" allowBlank="1" showInputMessage="1" showErrorMessage="1" sqref="AF7 AF10 AF15 AF18 AF21 AF24 AF27 AF33 AF38 AF41 AF44 AF47 AF50 AF53 AF56 AF59 T10:T12 T33:T35 T64:T1048576 AF29:AF30 AF64:AF1048576">
      <formula1>"ASCII,Unsigned,Signed,Texttable,Bytefield,Float,Reserved"</formula1>
    </dataValidation>
    <dataValidation type="list" allowBlank="1" showInputMessage="1" showErrorMessage="1" sqref="E7:E10 E15:E35 E38:E1048576">
      <formula1>"M,U"</formula1>
    </dataValidation>
    <dataValidation type="list" allowBlank="1" showInputMessage="1" showErrorMessage="1" sqref="F7:F10 F15:F35 F38:F1048576 H7:H10 H13:H33 H36:H1048576 AG7:AQ10 AG15:AQ35 AG38:AQ1048576 AP36:AQ37">
      <formula1>"Y,N"</formula1>
    </dataValidation>
    <dataValidation type="list" allowBlank="1" showInputMessage="1" showErrorMessage="1" sqref="P64:P1048576">
      <formula1>$C$2:$C$13</formula1>
    </dataValidation>
    <dataValidation type="list" allowBlank="1" showInputMessage="1" showErrorMessage="1" sqref="AB7:AB10 AB13:AB33 AB36:AB37">
      <formula1>$C$2:$C$66</formula1>
    </dataValidation>
    <dataValidation type="list" allowBlank="1" showInputMessage="1" showErrorMessage="1" sqref="AB64:AB1048576">
      <formula1>Predefined!$C$2:$C$69</formula1>
    </dataValidation>
  </dataValidations>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V26"/>
  <sheetViews>
    <sheetView showGridLines="0" view="pageBreakPreview" zoomScale="85" zoomScaleNormal="85" workbookViewId="0">
      <pane ySplit="2" topLeftCell="A3" activePane="bottomLeft" state="frozen"/>
      <selection/>
      <selection pane="bottomLeft" activeCell="G8" sqref="G8"/>
    </sheetView>
  </sheetViews>
  <sheetFormatPr defaultColWidth="8" defaultRowHeight="14.25" customHeight="1"/>
  <cols>
    <col min="1" max="1" width="12" style="335" customWidth="1"/>
    <col min="2" max="2" width="17.0909090909091" style="50" customWidth="1"/>
    <col min="3" max="3" width="32.4545454545455" style="50" customWidth="1"/>
    <col min="4" max="4" width="12.9090909090909" style="336" customWidth="1"/>
    <col min="5" max="5" width="25.9090909090909" style="50" customWidth="1"/>
    <col min="6" max="6" width="15.4545454545455" style="337" customWidth="1"/>
    <col min="7" max="7" width="7.36363636363636" style="337" customWidth="1"/>
    <col min="8" max="8" width="10.3636363636364" style="337" customWidth="1"/>
    <col min="9" max="9" width="22.3636363636364" style="50" customWidth="1"/>
    <col min="10" max="10" width="25.7272727272727" style="50" customWidth="1"/>
    <col min="11" max="11" width="8.09090909090909" style="50" customWidth="1"/>
    <col min="12" max="12" width="18.0909090909091" style="50" customWidth="1"/>
    <col min="13" max="13" width="15.7272727272727" style="50" customWidth="1"/>
    <col min="14" max="14" width="20.9090909090909" style="50" customWidth="1"/>
    <col min="15" max="15" width="23.3636363636364" style="50" customWidth="1"/>
    <col min="16" max="16384" width="8" style="50"/>
  </cols>
  <sheetData>
    <row r="1" s="52" customFormat="1" ht="15.5" spans="1:22">
      <c r="A1" s="338"/>
      <c r="B1" s="339"/>
      <c r="C1" s="339"/>
      <c r="D1" s="339"/>
      <c r="E1" s="339"/>
      <c r="F1" s="339"/>
      <c r="G1" s="339"/>
      <c r="H1" s="339"/>
      <c r="I1" s="339"/>
      <c r="J1" s="339"/>
      <c r="K1" s="339"/>
      <c r="L1" s="340"/>
      <c r="M1" s="340"/>
      <c r="N1" s="340"/>
      <c r="O1" s="340"/>
    </row>
    <row r="2" ht="15.5" spans="1:22">
      <c r="A2" s="341" t="s">
        <v>1044</v>
      </c>
      <c r="B2" s="9" t="s">
        <v>1088</v>
      </c>
      <c r="C2" s="9" t="s">
        <v>1089</v>
      </c>
      <c r="D2" s="342" t="s">
        <v>969</v>
      </c>
      <c r="E2" s="9" t="s">
        <v>892</v>
      </c>
      <c r="F2" s="343" t="s">
        <v>893</v>
      </c>
      <c r="G2" s="343" t="s">
        <v>894</v>
      </c>
      <c r="H2" s="343" t="s">
        <v>895</v>
      </c>
      <c r="I2" s="12" t="s">
        <v>89</v>
      </c>
      <c r="J2" s="12" t="s">
        <v>90</v>
      </c>
      <c r="K2" s="344" t="s">
        <v>897</v>
      </c>
      <c r="L2" s="345" t="s">
        <v>1090</v>
      </c>
      <c r="M2" s="345" t="s">
        <v>971</v>
      </c>
      <c r="N2" s="345" t="s">
        <v>972</v>
      </c>
      <c r="O2" s="345" t="s">
        <v>903</v>
      </c>
    </row>
    <row r="3" ht="33.75" customHeight="1" spans="1:22">
      <c r="A3" s="346" t="s">
        <v>1091</v>
      </c>
      <c r="B3" s="347" t="s">
        <v>984</v>
      </c>
      <c r="C3" s="20" t="s">
        <v>1092</v>
      </c>
      <c r="D3" s="348" t="s">
        <v>1093</v>
      </c>
      <c r="E3" s="349" t="s">
        <v>906</v>
      </c>
      <c r="F3" s="349" t="s">
        <v>906</v>
      </c>
      <c r="G3" s="349" t="s">
        <v>906</v>
      </c>
      <c r="H3" s="349" t="s">
        <v>906</v>
      </c>
      <c r="I3" s="349" t="s">
        <v>906</v>
      </c>
      <c r="J3" s="350" t="s">
        <v>906</v>
      </c>
      <c r="K3" s="19" t="s">
        <v>906</v>
      </c>
      <c r="L3" s="351" t="s">
        <v>1094</v>
      </c>
      <c r="M3" s="352" t="s">
        <v>1095</v>
      </c>
      <c r="N3" s="352" t="s">
        <v>1096</v>
      </c>
      <c r="O3" s="349" t="s">
        <v>1097</v>
      </c>
    </row>
    <row r="4" ht="30" spans="1:22">
      <c r="A4" s="353"/>
      <c r="B4" s="354"/>
      <c r="C4" s="355"/>
      <c r="D4" s="356" t="s">
        <v>1098</v>
      </c>
      <c r="E4" s="357" t="s">
        <v>906</v>
      </c>
      <c r="F4" s="358" t="s">
        <v>906</v>
      </c>
      <c r="G4" s="358" t="s">
        <v>906</v>
      </c>
      <c r="H4" s="358" t="s">
        <v>906</v>
      </c>
      <c r="I4" s="359" t="s">
        <v>906</v>
      </c>
      <c r="J4" s="359" t="s">
        <v>906</v>
      </c>
      <c r="K4" s="360"/>
      <c r="L4" s="352"/>
      <c r="M4" s="352"/>
      <c r="N4" s="352"/>
      <c r="O4" s="361" t="s">
        <v>1099</v>
      </c>
    </row>
    <row r="5" ht="31" spans="1:22">
      <c r="A5" s="362"/>
      <c r="B5" s="346" t="s">
        <v>996</v>
      </c>
      <c r="C5" s="363" t="s">
        <v>1100</v>
      </c>
      <c r="D5" s="356" t="s">
        <v>1093</v>
      </c>
      <c r="E5" s="364" t="s">
        <v>1101</v>
      </c>
      <c r="F5" s="18">
        <v>4</v>
      </c>
      <c r="G5" s="18">
        <v>0</v>
      </c>
      <c r="H5" s="18">
        <v>8</v>
      </c>
      <c r="I5" s="19" t="s">
        <v>920</v>
      </c>
      <c r="J5" s="365" t="s">
        <v>905</v>
      </c>
      <c r="K5" s="360" t="s">
        <v>906</v>
      </c>
      <c r="L5" s="360" t="s">
        <v>998</v>
      </c>
      <c r="M5" s="360" t="s">
        <v>1102</v>
      </c>
      <c r="N5" s="360" t="s">
        <v>1103</v>
      </c>
      <c r="O5" s="360" t="s">
        <v>1097</v>
      </c>
    </row>
    <row r="6" ht="15.5" spans="1:22">
      <c r="A6" s="362"/>
      <c r="B6" s="353"/>
      <c r="C6" s="366"/>
      <c r="D6" s="367"/>
      <c r="E6" s="364" t="s">
        <v>1004</v>
      </c>
      <c r="F6" s="18">
        <v>5</v>
      </c>
      <c r="G6" s="18">
        <v>0</v>
      </c>
      <c r="H6" s="18">
        <v>32</v>
      </c>
      <c r="I6" s="19" t="s">
        <v>920</v>
      </c>
      <c r="J6" s="365" t="s">
        <v>905</v>
      </c>
      <c r="K6" s="368"/>
      <c r="L6" s="368"/>
      <c r="M6" s="368"/>
      <c r="N6" s="368"/>
      <c r="O6" s="368"/>
    </row>
    <row r="7" ht="15.5" spans="1:22">
      <c r="A7" s="362"/>
      <c r="B7" s="353"/>
      <c r="C7" s="366"/>
      <c r="D7" s="369"/>
      <c r="E7" s="364" t="s">
        <v>1009</v>
      </c>
      <c r="F7" s="18">
        <v>10</v>
      </c>
      <c r="G7" s="18">
        <v>0</v>
      </c>
      <c r="H7" s="18">
        <v>32</v>
      </c>
      <c r="I7" s="19" t="s">
        <v>920</v>
      </c>
      <c r="J7" s="365" t="s">
        <v>905</v>
      </c>
      <c r="K7" s="370"/>
      <c r="L7" s="370"/>
      <c r="M7" s="370"/>
      <c r="N7" s="370"/>
      <c r="O7" s="370"/>
    </row>
    <row r="8" ht="46.5" spans="1:22">
      <c r="A8" s="362"/>
      <c r="B8" s="371"/>
      <c r="C8" s="372"/>
      <c r="D8" s="369" t="s">
        <v>1098</v>
      </c>
      <c r="E8" s="349" t="s">
        <v>1104</v>
      </c>
      <c r="F8" s="18">
        <v>4</v>
      </c>
      <c r="G8" s="18">
        <v>0</v>
      </c>
      <c r="H8" s="18">
        <v>8</v>
      </c>
      <c r="I8" s="20" t="s">
        <v>1105</v>
      </c>
      <c r="J8" s="20" t="s">
        <v>1106</v>
      </c>
      <c r="K8" s="370"/>
      <c r="L8" s="352"/>
      <c r="M8" s="352"/>
      <c r="N8" s="19"/>
      <c r="O8" s="19"/>
    </row>
    <row r="9" ht="15.5" spans="1:22">
      <c r="A9" s="353"/>
      <c r="B9" s="373" t="s">
        <v>1107</v>
      </c>
      <c r="C9" s="355" t="s">
        <v>1108</v>
      </c>
      <c r="D9" s="348" t="s">
        <v>1093</v>
      </c>
      <c r="E9" s="349" t="s">
        <v>1109</v>
      </c>
      <c r="F9" s="18">
        <v>4</v>
      </c>
      <c r="G9" s="18">
        <v>0</v>
      </c>
      <c r="H9" s="18">
        <v>32</v>
      </c>
      <c r="I9" s="19" t="s">
        <v>920</v>
      </c>
      <c r="J9" s="365" t="s">
        <v>905</v>
      </c>
      <c r="K9" s="19" t="s">
        <v>906</v>
      </c>
      <c r="L9" s="351" t="s">
        <v>1110</v>
      </c>
      <c r="M9" s="352" t="s">
        <v>1102</v>
      </c>
      <c r="N9" s="370" t="s">
        <v>1103</v>
      </c>
      <c r="O9" s="349" t="s">
        <v>1097</v>
      </c>
    </row>
    <row r="10" ht="46.5" spans="1:22">
      <c r="A10" s="353"/>
      <c r="B10" s="374"/>
      <c r="C10" s="355"/>
      <c r="D10" s="348" t="s">
        <v>1098</v>
      </c>
      <c r="E10" s="349" t="s">
        <v>1104</v>
      </c>
      <c r="F10" s="18">
        <v>4</v>
      </c>
      <c r="G10" s="18">
        <v>0</v>
      </c>
      <c r="H10" s="18">
        <v>8</v>
      </c>
      <c r="I10" s="20" t="s">
        <v>1105</v>
      </c>
      <c r="J10" s="20" t="s">
        <v>1106</v>
      </c>
      <c r="K10" s="19"/>
      <c r="L10" s="352"/>
      <c r="M10" s="352"/>
      <c r="N10" s="352"/>
      <c r="O10" s="361" t="s">
        <v>1099</v>
      </c>
    </row>
    <row r="11" ht="15.5" spans="1:22">
      <c r="A11" s="353"/>
      <c r="B11" s="374" t="s">
        <v>1011</v>
      </c>
      <c r="C11" s="355" t="s">
        <v>1111</v>
      </c>
      <c r="D11" s="348" t="s">
        <v>1093</v>
      </c>
      <c r="E11" s="349" t="s">
        <v>906</v>
      </c>
      <c r="F11" s="349" t="s">
        <v>906</v>
      </c>
      <c r="G11" s="349" t="s">
        <v>906</v>
      </c>
      <c r="H11" s="349" t="s">
        <v>906</v>
      </c>
      <c r="I11" s="349" t="s">
        <v>906</v>
      </c>
      <c r="J11" s="350" t="s">
        <v>906</v>
      </c>
      <c r="K11" s="19" t="s">
        <v>906</v>
      </c>
      <c r="L11" s="351" t="s">
        <v>1112</v>
      </c>
      <c r="M11" s="352" t="s">
        <v>1102</v>
      </c>
      <c r="N11" s="352" t="s">
        <v>1103</v>
      </c>
      <c r="O11" s="349" t="s">
        <v>1097</v>
      </c>
    </row>
    <row r="12" ht="46.5" spans="1:22">
      <c r="A12" s="353"/>
      <c r="B12" s="374"/>
      <c r="C12" s="355"/>
      <c r="D12" s="348" t="s">
        <v>1098</v>
      </c>
      <c r="E12" s="349" t="s">
        <v>1104</v>
      </c>
      <c r="F12" s="18">
        <v>4</v>
      </c>
      <c r="G12" s="18">
        <v>0</v>
      </c>
      <c r="H12" s="18">
        <v>8</v>
      </c>
      <c r="I12" s="20" t="s">
        <v>1105</v>
      </c>
      <c r="J12" s="20" t="s">
        <v>1106</v>
      </c>
      <c r="K12" s="19"/>
      <c r="L12" s="352"/>
      <c r="M12" s="352"/>
      <c r="N12" s="352"/>
      <c r="O12" s="361" t="s">
        <v>1099</v>
      </c>
    </row>
    <row r="13" ht="15.5" spans="1:22">
      <c r="A13" s="44" t="s">
        <v>237</v>
      </c>
      <c r="B13" s="352"/>
      <c r="C13" s="352"/>
      <c r="D13" s="375"/>
      <c r="E13" s="352"/>
      <c r="F13" s="352"/>
      <c r="G13" s="352"/>
      <c r="H13" s="352"/>
      <c r="I13" s="352"/>
      <c r="J13" s="352"/>
      <c r="K13" s="352"/>
      <c r="L13" s="352"/>
      <c r="M13" s="352"/>
      <c r="N13" s="352"/>
      <c r="O13" s="352"/>
    </row>
    <row r="14" s="334" customFormat="1" ht="15.5" spans="1:22">
      <c r="D14" s="336"/>
      <c r="P14" s="52"/>
      <c r="Q14" s="52"/>
      <c r="R14" s="52"/>
      <c r="S14" s="52"/>
      <c r="T14" s="52"/>
      <c r="U14" s="52"/>
      <c r="V14" s="52"/>
    </row>
    <row r="15" ht="15.5" spans="1:22">
      <c r="A15" s="50"/>
      <c r="F15" s="50"/>
      <c r="G15" s="50"/>
      <c r="H15" s="50"/>
    </row>
    <row r="16" ht="15.5" spans="1:22">
      <c r="A16" s="50"/>
      <c r="F16" s="50"/>
      <c r="G16" s="50"/>
      <c r="H16" s="50"/>
    </row>
    <row r="17" s="334" customFormat="1" ht="15.5" spans="1:22">
      <c r="D17" s="336"/>
      <c r="P17" s="52"/>
      <c r="Q17" s="52"/>
      <c r="R17" s="52"/>
      <c r="S17" s="52"/>
      <c r="T17" s="52"/>
      <c r="U17" s="52"/>
      <c r="V17" s="52"/>
    </row>
    <row r="18" ht="15.5" spans="1:22">
      <c r="A18" s="50"/>
      <c r="F18" s="50"/>
      <c r="G18" s="50"/>
      <c r="H18" s="50"/>
    </row>
    <row r="19" ht="15.5" spans="1:22">
      <c r="A19" s="50"/>
      <c r="F19" s="50"/>
      <c r="G19" s="50"/>
      <c r="H19" s="50"/>
    </row>
    <row r="20" s="334" customFormat="1" ht="15.5" spans="1:22">
      <c r="D20" s="336"/>
      <c r="P20" s="52"/>
      <c r="Q20" s="52"/>
      <c r="R20" s="52"/>
      <c r="S20" s="52"/>
      <c r="T20" s="52"/>
      <c r="U20" s="52"/>
      <c r="V20" s="52"/>
    </row>
    <row r="21" ht="15.5" spans="1:22">
      <c r="A21" s="50"/>
      <c r="F21" s="50"/>
      <c r="G21" s="50"/>
      <c r="H21" s="50"/>
    </row>
    <row r="22" ht="15.5" spans="1:22">
      <c r="A22" s="50"/>
      <c r="F22" s="50"/>
      <c r="G22" s="50"/>
      <c r="H22" s="50"/>
    </row>
    <row r="23" ht="14"/>
    <row r="24" ht="14"/>
    <row r="25" ht="14"/>
    <row r="26" ht="14"/>
  </sheetData>
  <mergeCells count="1">
    <mergeCell ref="B1:K1"/>
  </mergeCells>
  <pageMargins left="0.787401575" right="0.787401575" top="0.984251969" bottom="0.984251969" header="0.511805555555556" footer="0.511805555555556"/>
  <pageSetup paperSize="9" scale="32" firstPageNumber="0" orientation="portrait" useFirstPageNumber="1" horizontalDpi="300" verticalDpi="300"/>
  <headerFooter alignWithMargins="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zoomScale="85" zoomScaleNormal="85" workbookViewId="0">
      <selection activeCell="Q34" sqref="Q34"/>
    </sheetView>
  </sheetViews>
  <sheetFormatPr defaultColWidth="7.72727272727273" defaultRowHeight="13" outlineLevelCol="4"/>
  <cols>
    <col min="1" max="1" width="15.7272727272727" style="312" customWidth="1"/>
    <col min="2" max="2" width="44.6363636363636" style="312" customWidth="1"/>
    <col min="3" max="3" width="37.7272727272727" style="312" customWidth="1"/>
    <col min="4" max="4" width="24" style="313" customWidth="1"/>
    <col min="5" max="5" width="25.9090909090909" style="312" customWidth="1"/>
    <col min="6" max="16384" width="7.72727272727273" style="312"/>
  </cols>
  <sheetData>
    <row r="1" spans="1:5">
      <c r="A1" s="314" t="s">
        <v>1113</v>
      </c>
      <c r="B1" s="314"/>
      <c r="C1" s="314"/>
      <c r="D1" s="314"/>
      <c r="E1" s="314"/>
    </row>
    <row r="2" spans="1:5">
      <c r="A2" s="314"/>
      <c r="B2" s="314"/>
      <c r="C2" s="314"/>
      <c r="D2" s="314"/>
      <c r="E2" s="314"/>
    </row>
    <row r="3" spans="1:5">
      <c r="A3" s="315"/>
      <c r="B3" s="315"/>
      <c r="C3" s="315"/>
      <c r="D3" s="315"/>
      <c r="E3" s="315"/>
    </row>
    <row r="4" ht="30" customHeight="1" spans="1:5">
      <c r="A4" s="316" t="s">
        <v>1114</v>
      </c>
      <c r="B4" s="317"/>
      <c r="C4" s="317"/>
      <c r="D4" s="317"/>
      <c r="E4" s="317"/>
    </row>
    <row r="5" ht="29.5" customHeight="1" spans="1:5">
      <c r="A5" s="318" t="s">
        <v>1115</v>
      </c>
      <c r="B5" s="318" t="s">
        <v>248</v>
      </c>
      <c r="C5" s="318" t="s">
        <v>1116</v>
      </c>
      <c r="D5" s="319" t="s">
        <v>1117</v>
      </c>
      <c r="E5" s="319" t="s">
        <v>246</v>
      </c>
    </row>
    <row r="6" customHeight="1" spans="1:5">
      <c r="A6" s="320" t="s">
        <v>319</v>
      </c>
      <c r="B6" s="320" t="s">
        <v>1118</v>
      </c>
      <c r="C6" s="321" t="s">
        <v>1119</v>
      </c>
      <c r="D6" s="322" t="s">
        <v>272</v>
      </c>
      <c r="E6" s="320" t="s">
        <v>1120</v>
      </c>
    </row>
    <row r="7" spans="1:5">
      <c r="A7" s="320"/>
      <c r="B7" s="320"/>
      <c r="C7" s="321" t="s">
        <v>1121</v>
      </c>
      <c r="D7" s="322" t="s">
        <v>272</v>
      </c>
      <c r="E7" s="320" t="s">
        <v>1122</v>
      </c>
    </row>
    <row r="8" spans="1:5">
      <c r="A8" s="320"/>
      <c r="B8" s="320"/>
      <c r="C8" s="321" t="s">
        <v>1123</v>
      </c>
      <c r="D8" s="322" t="s">
        <v>272</v>
      </c>
      <c r="E8" s="320" t="s">
        <v>1124</v>
      </c>
    </row>
    <row r="9" spans="1:5">
      <c r="A9" s="320"/>
      <c r="B9" s="320"/>
      <c r="C9" s="321" t="s">
        <v>1125</v>
      </c>
      <c r="D9" s="322" t="s">
        <v>272</v>
      </c>
      <c r="E9" s="320" t="s">
        <v>1126</v>
      </c>
    </row>
    <row r="10" spans="1:5">
      <c r="A10" s="320"/>
      <c r="B10" s="320"/>
      <c r="C10" s="321" t="s">
        <v>1127</v>
      </c>
      <c r="D10" s="322" t="s">
        <v>272</v>
      </c>
      <c r="E10" s="320" t="s">
        <v>1128</v>
      </c>
    </row>
    <row r="11" spans="1:5">
      <c r="A11" s="320"/>
      <c r="B11" s="320"/>
      <c r="C11" s="321" t="s">
        <v>1129</v>
      </c>
      <c r="D11" s="323" t="s">
        <v>266</v>
      </c>
      <c r="E11" s="320" t="s">
        <v>1130</v>
      </c>
    </row>
    <row r="12" spans="1:5">
      <c r="A12" s="320"/>
      <c r="B12" s="320"/>
      <c r="C12" s="321" t="s">
        <v>1131</v>
      </c>
      <c r="D12" s="322" t="s">
        <v>272</v>
      </c>
      <c r="E12" s="320" t="s">
        <v>1132</v>
      </c>
    </row>
    <row r="13" spans="1:5">
      <c r="A13" s="320"/>
      <c r="B13" s="320"/>
      <c r="C13" s="321" t="s">
        <v>1133</v>
      </c>
      <c r="D13" s="322" t="s">
        <v>272</v>
      </c>
      <c r="E13" s="320" t="s">
        <v>1134</v>
      </c>
    </row>
    <row r="14" spans="1:5">
      <c r="A14" s="324"/>
      <c r="B14" s="324"/>
      <c r="C14" s="324"/>
      <c r="D14" s="325"/>
      <c r="E14" s="326"/>
    </row>
    <row r="15" ht="27.65" customHeight="1" spans="1:5">
      <c r="A15" s="316" t="s">
        <v>1135</v>
      </c>
      <c r="B15" s="317"/>
      <c r="C15" s="317"/>
      <c r="D15" s="317"/>
      <c r="E15" s="317"/>
    </row>
    <row r="16" ht="26" spans="1:5">
      <c r="A16" s="318" t="s">
        <v>1136</v>
      </c>
      <c r="B16" s="318" t="s">
        <v>1137</v>
      </c>
      <c r="C16" s="318" t="s">
        <v>1138</v>
      </c>
      <c r="D16" s="318" t="s">
        <v>1139</v>
      </c>
      <c r="E16" s="318" t="s">
        <v>1140</v>
      </c>
    </row>
    <row r="17" ht="26" spans="1:5">
      <c r="A17" s="327">
        <v>0</v>
      </c>
      <c r="B17" s="328" t="s">
        <v>1141</v>
      </c>
      <c r="C17" s="320" t="s">
        <v>1142</v>
      </c>
      <c r="D17" s="323" t="s">
        <v>266</v>
      </c>
      <c r="E17" s="320" t="s">
        <v>265</v>
      </c>
    </row>
    <row r="18" ht="26" spans="1:5">
      <c r="A18" s="327">
        <v>1</v>
      </c>
      <c r="B18" s="328" t="s">
        <v>1143</v>
      </c>
      <c r="C18" s="320" t="s">
        <v>1142</v>
      </c>
      <c r="D18" s="329" t="s">
        <v>272</v>
      </c>
      <c r="E18" s="320" t="s">
        <v>282</v>
      </c>
    </row>
    <row r="19" ht="26" spans="1:5">
      <c r="A19" s="327">
        <v>2</v>
      </c>
      <c r="B19" s="328" t="s">
        <v>1144</v>
      </c>
      <c r="C19" s="320" t="s">
        <v>1142</v>
      </c>
      <c r="D19" s="329" t="s">
        <v>272</v>
      </c>
      <c r="E19" s="320" t="s">
        <v>282</v>
      </c>
    </row>
    <row r="20" ht="26" spans="1:5">
      <c r="A20" s="327">
        <v>3</v>
      </c>
      <c r="B20" s="328" t="s">
        <v>1145</v>
      </c>
      <c r="C20" s="320" t="s">
        <v>1142</v>
      </c>
      <c r="D20" s="323" t="s">
        <v>266</v>
      </c>
      <c r="E20" s="320" t="s">
        <v>265</v>
      </c>
    </row>
    <row r="21" ht="26" spans="1:5">
      <c r="A21" s="327">
        <v>4</v>
      </c>
      <c r="B21" s="328" t="s">
        <v>1146</v>
      </c>
      <c r="C21" s="320" t="s">
        <v>1142</v>
      </c>
      <c r="D21" s="329" t="s">
        <v>272</v>
      </c>
      <c r="E21" s="320" t="s">
        <v>282</v>
      </c>
    </row>
    <row r="22" ht="26" spans="1:5">
      <c r="A22" s="327">
        <v>5</v>
      </c>
      <c r="B22" s="328" t="s">
        <v>1147</v>
      </c>
      <c r="C22" s="320" t="s">
        <v>1142</v>
      </c>
      <c r="D22" s="329" t="s">
        <v>272</v>
      </c>
      <c r="E22" s="320" t="s">
        <v>282</v>
      </c>
    </row>
    <row r="23" ht="26" spans="1:5">
      <c r="A23" s="327">
        <v>6</v>
      </c>
      <c r="B23" s="328" t="s">
        <v>1148</v>
      </c>
      <c r="C23" s="320" t="s">
        <v>1142</v>
      </c>
      <c r="D23" s="329" t="s">
        <v>272</v>
      </c>
      <c r="E23" s="320" t="s">
        <v>282</v>
      </c>
    </row>
    <row r="24" ht="26" spans="1:5">
      <c r="A24" s="327">
        <v>7</v>
      </c>
      <c r="B24" s="328" t="s">
        <v>1149</v>
      </c>
      <c r="C24" s="320" t="s">
        <v>1142</v>
      </c>
      <c r="D24" s="329" t="s">
        <v>272</v>
      </c>
      <c r="E24" s="320" t="s">
        <v>282</v>
      </c>
    </row>
    <row r="25" spans="1:5">
      <c r="A25" s="330" t="s">
        <v>237</v>
      </c>
      <c r="B25" s="331"/>
      <c r="C25" s="332"/>
      <c r="D25" s="332"/>
      <c r="E25" s="332"/>
    </row>
    <row r="26" ht="43.4" customHeight="1" spans="1:5">
      <c r="A26" s="333" t="s">
        <v>1150</v>
      </c>
      <c r="B26" s="333"/>
      <c r="C26" s="333"/>
      <c r="D26" s="333"/>
      <c r="E26" s="333"/>
    </row>
  </sheetData>
  <mergeCells count="6">
    <mergeCell ref="A4:E4"/>
    <mergeCell ref="A15:E15"/>
    <mergeCell ref="A26:E26"/>
    <mergeCell ref="A6:A13"/>
    <mergeCell ref="B6:B13"/>
    <mergeCell ref="A1:E3"/>
  </mergeCells>
  <conditionalFormatting sqref="D6:D13">
    <cfRule type="cellIs" dxfId="7" priority="1" stopIfTrue="1" operator="equal">
      <formula>"-"</formula>
    </cfRule>
    <cfRule type="cellIs" dxfId="6" priority="2" stopIfTrue="1" operator="equal">
      <formula>"tbd"</formula>
    </cfRule>
  </conditionalFormatting>
  <conditionalFormatting sqref="D18:D25">
    <cfRule type="cellIs" dxfId="8" priority="5" stopIfTrue="1" operator="equal">
      <formula>"N"</formula>
    </cfRule>
    <cfRule type="cellIs" dxfId="6" priority="6" stopIfTrue="1" operator="equal">
      <formula>"tbd"</formula>
    </cfRule>
  </conditionalFormatting>
  <conditionalFormatting sqref="C6:E13">
    <cfRule type="cellIs" dxfId="9" priority="3" stopIfTrue="1" operator="equal">
      <formula>"-"</formula>
    </cfRule>
    <cfRule type="cellIs" dxfId="6" priority="4" stopIfTrue="1" operator="equal">
      <formula>"tbd"</formula>
    </cfRule>
  </conditionalFormatting>
  <dataValidations count="2">
    <dataValidation type="list" allowBlank="1" showInputMessage="1" showErrorMessage="1" sqref="D25">
      <formula1>"Y,N,TBD"</formula1>
    </dataValidation>
    <dataValidation type="list" allowBlank="1" showInputMessage="1" showErrorMessage="1" sqref="D6:D13 D17:D24">
      <formula1>"Y,N"</formula1>
    </dataValidation>
  </dataValidations>
  <pageMargins left="0.7" right="0.7" top="0.75" bottom="0.75" header="0.3" footer="0.3"/>
  <pageSetup paperSize="9" orientation="portrait"/>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6"/>
  <sheetViews>
    <sheetView zoomScale="118" zoomScaleNormal="118" zoomScaleSheetLayoutView="70" topLeftCell="A11" workbookViewId="0">
      <selection activeCell="F12" sqref="F12"/>
    </sheetView>
  </sheetViews>
  <sheetFormatPr defaultColWidth="10" defaultRowHeight="13"/>
  <cols>
    <col min="1" max="1" width="10.0909090909091" style="222" customWidth="1"/>
    <col min="2" max="2" width="15.9090909090909" style="222" customWidth="1"/>
    <col min="3" max="3" width="5.72727272727273" style="223" customWidth="1"/>
    <col min="4" max="4" width="7" style="223" customWidth="1"/>
    <col min="5" max="5" width="6.09090909090909" style="223" customWidth="1"/>
    <col min="6" max="6" width="23.0909090909091" style="222" customWidth="1"/>
    <col min="7" max="7" width="16.0909090909091" style="222" customWidth="1"/>
    <col min="8" max="8" width="26.9090909090909" style="222" customWidth="1"/>
    <col min="9" max="9" width="18.4545454545455" style="222" customWidth="1"/>
    <col min="10" max="12" width="27.4545454545455" style="222" customWidth="1" outlineLevel="1"/>
    <col min="13" max="13" width="11.0909090909091" style="222" customWidth="1"/>
    <col min="14" max="14" width="10.4545454545455" style="222" customWidth="1"/>
    <col min="15" max="15" width="51.7272727272727" style="222" customWidth="1"/>
    <col min="16" max="16" width="11.6363636363636" style="222" customWidth="1"/>
    <col min="17" max="17" width="11.0909090909091" style="222" customWidth="1"/>
    <col min="18" max="18" width="40.3636363636364" style="222" customWidth="1"/>
    <col min="19" max="19" width="19.0909090909091" style="222" customWidth="1"/>
    <col min="20" max="20" width="30.0909090909091" style="222" customWidth="1"/>
    <col min="21" max="21" width="29" style="222" customWidth="1"/>
    <col min="22" max="22" width="17.3636363636364" style="222" customWidth="1"/>
    <col min="23" max="23" width="31.0909090909091" style="222" customWidth="1"/>
    <col min="24" max="24" width="20.0909090909091" style="222" customWidth="1"/>
    <col min="25" max="25" width="35.0909090909091" style="222" customWidth="1"/>
    <col min="26" max="26" width="38.9090909090909" style="222" customWidth="1"/>
    <col min="27" max="27" width="15.7272727272727" style="222" customWidth="1"/>
    <col min="28" max="28" width="21.0909090909091" style="222" customWidth="1"/>
    <col min="29" max="29" width="19" style="222" customWidth="1"/>
    <col min="30" max="16384" width="10" style="222"/>
  </cols>
  <sheetData>
    <row r="1" ht="14.15" customHeight="1" spans="1:29">
      <c r="A1" s="224" t="s">
        <v>1151</v>
      </c>
      <c r="B1" s="224"/>
      <c r="C1" s="225"/>
      <c r="D1" s="225"/>
      <c r="E1" s="225"/>
      <c r="F1" s="224"/>
      <c r="G1" s="224"/>
      <c r="H1" s="226" t="s">
        <v>1152</v>
      </c>
      <c r="I1" s="226"/>
      <c r="J1" s="226"/>
      <c r="K1" s="226"/>
      <c r="L1" s="226"/>
      <c r="M1" s="226"/>
      <c r="N1" s="227"/>
      <c r="O1" s="227"/>
      <c r="P1" s="227"/>
      <c r="Q1" s="227"/>
      <c r="R1" s="227"/>
      <c r="S1" s="227"/>
      <c r="T1" s="227"/>
      <c r="U1" s="227"/>
      <c r="V1" s="227"/>
      <c r="W1" s="227"/>
      <c r="X1" s="227"/>
      <c r="Y1" s="227"/>
      <c r="Z1" s="227"/>
      <c r="AA1" s="227"/>
      <c r="AB1" s="227"/>
      <c r="AC1" s="227"/>
    </row>
    <row r="2" ht="14.5" spans="1:29">
      <c r="A2" s="224"/>
      <c r="B2" s="224"/>
      <c r="C2" s="225"/>
      <c r="D2" s="225"/>
      <c r="E2" s="225"/>
      <c r="F2" s="224"/>
      <c r="G2" s="224"/>
      <c r="H2" s="226"/>
      <c r="I2" s="226"/>
      <c r="J2" s="226"/>
      <c r="K2" s="226"/>
      <c r="L2" s="226"/>
      <c r="M2" s="226"/>
      <c r="N2" s="227"/>
      <c r="O2" s="227"/>
      <c r="P2" s="227"/>
      <c r="Q2" s="227"/>
      <c r="R2" s="227"/>
      <c r="S2" s="227"/>
      <c r="T2" s="227"/>
      <c r="U2" s="227"/>
      <c r="V2" s="227"/>
      <c r="W2" s="227"/>
      <c r="X2" s="227"/>
      <c r="Y2" s="227"/>
      <c r="Z2" s="227"/>
      <c r="AA2" s="227"/>
      <c r="AB2" s="227"/>
      <c r="AC2" s="227"/>
    </row>
    <row r="3" s="219" customFormat="1" ht="59.15" customHeight="1" spans="1:29">
      <c r="A3" s="228"/>
      <c r="B3" s="228"/>
      <c r="C3" s="229"/>
      <c r="D3" s="229"/>
      <c r="E3" s="229"/>
      <c r="F3" s="228"/>
      <c r="G3" s="228"/>
      <c r="H3" s="226"/>
      <c r="I3" s="226"/>
      <c r="J3" s="226"/>
      <c r="K3" s="226"/>
      <c r="L3" s="226"/>
      <c r="M3" s="226"/>
      <c r="N3" s="230"/>
      <c r="O3" s="231" t="s">
        <v>266</v>
      </c>
      <c r="P3" s="231"/>
      <c r="Q3" s="231" t="s">
        <v>266</v>
      </c>
      <c r="R3" s="231" t="s">
        <v>266</v>
      </c>
      <c r="S3" s="231"/>
      <c r="T3" s="231"/>
      <c r="U3" s="231" t="s">
        <v>266</v>
      </c>
      <c r="V3" s="231"/>
      <c r="W3" s="231"/>
      <c r="X3" s="231" t="s">
        <v>266</v>
      </c>
      <c r="Y3" s="231" t="s">
        <v>266</v>
      </c>
      <c r="Z3" s="231" t="s">
        <v>266</v>
      </c>
      <c r="AA3" s="231"/>
      <c r="AB3" s="231"/>
      <c r="AC3" s="231"/>
    </row>
    <row r="4" s="220" customFormat="1" ht="36" customHeight="1" spans="1:29">
      <c r="A4" s="232" t="s">
        <v>0</v>
      </c>
      <c r="B4" s="232" t="s">
        <v>1153</v>
      </c>
      <c r="C4" s="233" t="s">
        <v>1154</v>
      </c>
      <c r="D4" s="234"/>
      <c r="E4" s="235"/>
      <c r="F4" s="236" t="s">
        <v>1155</v>
      </c>
      <c r="G4" s="237"/>
      <c r="H4" s="238" t="s">
        <v>1156</v>
      </c>
      <c r="I4" s="238"/>
      <c r="J4" s="239" t="s">
        <v>1157</v>
      </c>
      <c r="K4" s="240"/>
      <c r="L4" s="240"/>
      <c r="M4" s="232" t="s">
        <v>1158</v>
      </c>
      <c r="N4" s="232" t="s">
        <v>1159</v>
      </c>
      <c r="O4" s="232" t="s">
        <v>1160</v>
      </c>
      <c r="P4" s="232" t="s">
        <v>1161</v>
      </c>
      <c r="Q4" s="232" t="s">
        <v>1162</v>
      </c>
      <c r="R4" s="241" t="s">
        <v>1163</v>
      </c>
      <c r="S4" s="241" t="s">
        <v>1164</v>
      </c>
      <c r="T4" s="241" t="s">
        <v>1165</v>
      </c>
      <c r="U4" s="241" t="s">
        <v>1166</v>
      </c>
      <c r="V4" s="241" t="s">
        <v>1167</v>
      </c>
      <c r="W4" s="242" t="s">
        <v>1168</v>
      </c>
      <c r="X4" s="243" t="s">
        <v>1169</v>
      </c>
      <c r="Y4" s="244" t="s">
        <v>1170</v>
      </c>
      <c r="Z4" s="232" t="s">
        <v>1171</v>
      </c>
      <c r="AA4" s="241" t="s">
        <v>1172</v>
      </c>
      <c r="AB4" s="241" t="s">
        <v>1173</v>
      </c>
      <c r="AC4" s="241" t="s">
        <v>1174</v>
      </c>
    </row>
    <row r="5" s="220" customFormat="1" ht="43.4" customHeight="1" spans="1:29">
      <c r="A5" s="245"/>
      <c r="B5" s="245"/>
      <c r="C5" s="246" t="s">
        <v>1175</v>
      </c>
      <c r="D5" s="246" t="s">
        <v>1176</v>
      </c>
      <c r="E5" s="246" t="s">
        <v>1177</v>
      </c>
      <c r="F5" s="241" t="s">
        <v>1178</v>
      </c>
      <c r="G5" s="241" t="s">
        <v>1179</v>
      </c>
      <c r="H5" s="241" t="s">
        <v>1179</v>
      </c>
      <c r="I5" s="241" t="s">
        <v>1178</v>
      </c>
      <c r="J5" s="247" t="s">
        <v>1180</v>
      </c>
      <c r="K5" s="247" t="s">
        <v>1181</v>
      </c>
      <c r="L5" s="247" t="s">
        <v>1182</v>
      </c>
      <c r="M5" s="245"/>
      <c r="N5" s="245"/>
      <c r="O5" s="245"/>
      <c r="P5" s="245"/>
      <c r="Q5" s="245"/>
      <c r="R5" s="248"/>
      <c r="S5" s="248"/>
      <c r="T5" s="248"/>
      <c r="U5" s="248"/>
      <c r="V5" s="248"/>
      <c r="W5" s="249"/>
      <c r="X5" s="250"/>
      <c r="Y5" s="251"/>
      <c r="Z5" s="245"/>
      <c r="AA5" s="248"/>
      <c r="AB5" s="248"/>
      <c r="AC5" s="248"/>
    </row>
    <row r="6" ht="26" spans="1:29">
      <c r="A6" s="252">
        <v>1</v>
      </c>
      <c r="B6" s="252" t="s">
        <v>1183</v>
      </c>
      <c r="C6" s="253">
        <v>91</v>
      </c>
      <c r="D6" s="253">
        <v>17</v>
      </c>
      <c r="E6" s="253">
        <v>17</v>
      </c>
      <c r="F6" s="254" t="s">
        <v>1184</v>
      </c>
      <c r="G6" s="255" t="s">
        <v>1185</v>
      </c>
      <c r="H6" s="256" t="s">
        <v>1186</v>
      </c>
      <c r="I6" s="257" t="s">
        <v>1187</v>
      </c>
      <c r="J6" s="253">
        <v>1</v>
      </c>
      <c r="K6" s="253">
        <v>1</v>
      </c>
      <c r="L6" s="253">
        <v>1</v>
      </c>
      <c r="M6" s="258" t="s">
        <v>1188</v>
      </c>
      <c r="N6" s="259"/>
      <c r="O6" s="260" t="s">
        <v>1189</v>
      </c>
      <c r="P6" s="261" t="s">
        <v>1190</v>
      </c>
      <c r="Q6" s="261" t="s">
        <v>1191</v>
      </c>
      <c r="R6" s="262" t="s">
        <v>1192</v>
      </c>
      <c r="S6" s="263" t="s">
        <v>1193</v>
      </c>
      <c r="T6" s="261" t="s">
        <v>1194</v>
      </c>
      <c r="U6" s="262" t="s">
        <v>1195</v>
      </c>
      <c r="V6" s="263" t="s">
        <v>1196</v>
      </c>
      <c r="W6" s="261" t="s">
        <v>1197</v>
      </c>
      <c r="X6" s="261"/>
      <c r="Y6" s="264" t="s">
        <v>1198</v>
      </c>
      <c r="Z6" s="264" t="s">
        <v>1199</v>
      </c>
      <c r="AA6" s="261" t="s">
        <v>1200</v>
      </c>
      <c r="AB6" s="261" t="s">
        <v>1201</v>
      </c>
      <c r="AC6" s="261"/>
    </row>
    <row r="7" ht="26" spans="1:29">
      <c r="A7" s="252" t="s">
        <v>387</v>
      </c>
      <c r="B7" s="252" t="s">
        <v>1202</v>
      </c>
      <c r="C7" s="253">
        <v>91</v>
      </c>
      <c r="D7" s="253">
        <v>17</v>
      </c>
      <c r="E7" s="253">
        <v>16</v>
      </c>
      <c r="F7" s="254" t="s">
        <v>1203</v>
      </c>
      <c r="G7" s="255" t="s">
        <v>1204</v>
      </c>
      <c r="H7" s="256" t="s">
        <v>1186</v>
      </c>
      <c r="I7" s="257" t="s">
        <v>1187</v>
      </c>
      <c r="J7" s="253">
        <v>1</v>
      </c>
      <c r="K7" s="253">
        <v>2</v>
      </c>
      <c r="L7" s="253">
        <v>2</v>
      </c>
      <c r="M7" s="258" t="s">
        <v>1188</v>
      </c>
      <c r="N7" s="259"/>
      <c r="O7" s="260" t="s">
        <v>1189</v>
      </c>
      <c r="P7" s="261" t="s">
        <v>1190</v>
      </c>
      <c r="Q7" s="261" t="s">
        <v>1191</v>
      </c>
      <c r="R7" s="262" t="s">
        <v>1205</v>
      </c>
      <c r="S7" s="263" t="s">
        <v>1193</v>
      </c>
      <c r="T7" s="261" t="s">
        <v>1194</v>
      </c>
      <c r="U7" s="262" t="s">
        <v>1206</v>
      </c>
      <c r="V7" s="263" t="s">
        <v>1196</v>
      </c>
      <c r="W7" s="261" t="s">
        <v>1197</v>
      </c>
      <c r="X7" s="265"/>
      <c r="Y7" s="264" t="s">
        <v>1198</v>
      </c>
      <c r="Z7" s="264" t="s">
        <v>1199</v>
      </c>
      <c r="AA7" s="261" t="s">
        <v>1200</v>
      </c>
      <c r="AB7" s="261" t="s">
        <v>1201</v>
      </c>
      <c r="AC7" s="261"/>
    </row>
    <row r="8" ht="78" spans="1:29">
      <c r="A8" s="252" t="s">
        <v>231</v>
      </c>
      <c r="B8" s="252" t="s">
        <v>1207</v>
      </c>
      <c r="C8" s="266" t="s">
        <v>1208</v>
      </c>
      <c r="D8" s="266">
        <v>73</v>
      </c>
      <c r="E8" s="266">
        <v>88</v>
      </c>
      <c r="F8" s="252" t="s">
        <v>1209</v>
      </c>
      <c r="G8" s="256" t="s">
        <v>1210</v>
      </c>
      <c r="H8" s="256" t="s">
        <v>1211</v>
      </c>
      <c r="I8" s="267" t="s">
        <v>1212</v>
      </c>
      <c r="J8" s="253">
        <v>1</v>
      </c>
      <c r="K8" s="253">
        <v>3</v>
      </c>
      <c r="L8" s="253">
        <v>3</v>
      </c>
      <c r="M8" s="258" t="s">
        <v>1188</v>
      </c>
      <c r="N8" s="259"/>
      <c r="O8" s="260" t="s">
        <v>1213</v>
      </c>
      <c r="P8" s="261" t="s">
        <v>1190</v>
      </c>
      <c r="Q8" s="261" t="s">
        <v>1191</v>
      </c>
      <c r="R8" s="268" t="s">
        <v>1214</v>
      </c>
      <c r="S8" s="269" t="s">
        <v>1215</v>
      </c>
      <c r="T8" s="261" t="s">
        <v>1216</v>
      </c>
      <c r="U8" s="268" t="s">
        <v>1217</v>
      </c>
      <c r="V8" s="261" t="s">
        <v>1218</v>
      </c>
      <c r="W8" s="261" t="s">
        <v>1197</v>
      </c>
      <c r="X8" s="270"/>
      <c r="Y8" s="264" t="s">
        <v>1219</v>
      </c>
      <c r="Z8" s="264" t="s">
        <v>1220</v>
      </c>
      <c r="AA8" s="261" t="s">
        <v>1200</v>
      </c>
      <c r="AB8" s="261" t="s">
        <v>1201</v>
      </c>
      <c r="AC8" s="271"/>
    </row>
    <row r="9" ht="52" spans="1:29">
      <c r="A9" s="252" t="s">
        <v>390</v>
      </c>
      <c r="B9" s="272" t="s">
        <v>1221</v>
      </c>
      <c r="C9" s="273" t="s">
        <v>1222</v>
      </c>
      <c r="D9" s="273">
        <v>80</v>
      </c>
      <c r="E9" s="273">
        <v>19</v>
      </c>
      <c r="F9" s="252" t="s">
        <v>1223</v>
      </c>
      <c r="G9" s="256" t="s">
        <v>1224</v>
      </c>
      <c r="H9" s="256" t="s">
        <v>1225</v>
      </c>
      <c r="I9" s="267" t="s">
        <v>1226</v>
      </c>
      <c r="J9" s="253">
        <v>1</v>
      </c>
      <c r="K9" s="253">
        <v>4</v>
      </c>
      <c r="L9" s="253">
        <v>4</v>
      </c>
      <c r="M9" s="267" t="s">
        <v>1227</v>
      </c>
      <c r="N9" s="259"/>
      <c r="O9" s="260" t="s">
        <v>1228</v>
      </c>
      <c r="P9" s="261" t="s">
        <v>1190</v>
      </c>
      <c r="Q9" s="261" t="s">
        <v>1191</v>
      </c>
      <c r="R9" s="268" t="s">
        <v>1229</v>
      </c>
      <c r="S9" s="268" t="s">
        <v>1230</v>
      </c>
      <c r="T9" s="261" t="s">
        <v>1194</v>
      </c>
      <c r="U9" s="274" t="s">
        <v>1231</v>
      </c>
      <c r="V9" s="261" t="s">
        <v>1218</v>
      </c>
      <c r="W9" s="261" t="s">
        <v>1197</v>
      </c>
      <c r="X9" s="270"/>
      <c r="Y9" s="271" t="s">
        <v>1232</v>
      </c>
      <c r="Z9" s="264" t="s">
        <v>1233</v>
      </c>
      <c r="AA9" s="261" t="s">
        <v>1200</v>
      </c>
      <c r="AB9" s="261" t="s">
        <v>1201</v>
      </c>
      <c r="AC9" s="271"/>
    </row>
    <row r="10" ht="65" spans="1:29">
      <c r="A10" s="252" t="s">
        <v>392</v>
      </c>
      <c r="B10" s="272" t="s">
        <v>1234</v>
      </c>
      <c r="C10" s="273" t="s">
        <v>1222</v>
      </c>
      <c r="D10" s="273">
        <v>81</v>
      </c>
      <c r="E10" s="273">
        <v>18</v>
      </c>
      <c r="F10" s="252" t="s">
        <v>1235</v>
      </c>
      <c r="G10" s="256" t="s">
        <v>1236</v>
      </c>
      <c r="H10" s="256" t="s">
        <v>1225</v>
      </c>
      <c r="I10" s="267" t="s">
        <v>1226</v>
      </c>
      <c r="J10" s="253">
        <v>1</v>
      </c>
      <c r="K10" s="253">
        <v>5</v>
      </c>
      <c r="L10" s="253">
        <v>5</v>
      </c>
      <c r="M10" s="267" t="s">
        <v>1227</v>
      </c>
      <c r="N10" s="259"/>
      <c r="O10" s="260" t="s">
        <v>1237</v>
      </c>
      <c r="P10" s="261" t="s">
        <v>1190</v>
      </c>
      <c r="Q10" s="261" t="s">
        <v>1191</v>
      </c>
      <c r="R10" s="268" t="s">
        <v>1238</v>
      </c>
      <c r="S10" s="268" t="s">
        <v>1239</v>
      </c>
      <c r="T10" s="261" t="s">
        <v>1194</v>
      </c>
      <c r="U10" s="274" t="s">
        <v>1231</v>
      </c>
      <c r="V10" s="261" t="s">
        <v>1218</v>
      </c>
      <c r="W10" s="261" t="s">
        <v>1197</v>
      </c>
      <c r="X10" s="270"/>
      <c r="Y10" s="271" t="s">
        <v>1232</v>
      </c>
      <c r="Z10" s="264" t="s">
        <v>1233</v>
      </c>
      <c r="AA10" s="261" t="s">
        <v>1200</v>
      </c>
      <c r="AB10" s="261" t="s">
        <v>1201</v>
      </c>
      <c r="AC10" s="271"/>
    </row>
    <row r="11" ht="65" spans="1:29">
      <c r="A11" s="252" t="s">
        <v>394</v>
      </c>
      <c r="B11" s="272" t="s">
        <v>1240</v>
      </c>
      <c r="C11" s="273" t="s">
        <v>1222</v>
      </c>
      <c r="D11" s="266">
        <v>82</v>
      </c>
      <c r="E11" s="266">
        <v>17</v>
      </c>
      <c r="F11" s="252" t="s">
        <v>1241</v>
      </c>
      <c r="G11" s="256" t="s">
        <v>1242</v>
      </c>
      <c r="H11" s="256" t="s">
        <v>1242</v>
      </c>
      <c r="I11" s="267" t="s">
        <v>1243</v>
      </c>
      <c r="J11" s="253">
        <v>1</v>
      </c>
      <c r="K11" s="253">
        <v>6</v>
      </c>
      <c r="L11" s="253">
        <v>6</v>
      </c>
      <c r="M11" s="267" t="s">
        <v>1227</v>
      </c>
      <c r="N11" s="259"/>
      <c r="O11" s="260" t="s">
        <v>1244</v>
      </c>
      <c r="P11" s="261" t="s">
        <v>1190</v>
      </c>
      <c r="Q11" s="261" t="s">
        <v>1191</v>
      </c>
      <c r="R11" s="267" t="s">
        <v>1245</v>
      </c>
      <c r="S11" s="268" t="s">
        <v>1239</v>
      </c>
      <c r="T11" s="261" t="s">
        <v>1194</v>
      </c>
      <c r="U11" s="274" t="s">
        <v>1246</v>
      </c>
      <c r="V11" s="261" t="s">
        <v>1218</v>
      </c>
      <c r="W11" s="261" t="s">
        <v>1197</v>
      </c>
      <c r="X11" s="270"/>
      <c r="Y11" s="271" t="s">
        <v>1232</v>
      </c>
      <c r="Z11" s="264" t="s">
        <v>1247</v>
      </c>
      <c r="AA11" s="261" t="s">
        <v>1200</v>
      </c>
      <c r="AB11" s="261" t="s">
        <v>1201</v>
      </c>
      <c r="AC11" s="271"/>
    </row>
    <row r="12" ht="78" spans="1:29">
      <c r="A12" s="252">
        <v>7</v>
      </c>
      <c r="B12" s="272" t="s">
        <v>1248</v>
      </c>
      <c r="C12" s="273" t="s">
        <v>1222</v>
      </c>
      <c r="D12" s="266">
        <v>83</v>
      </c>
      <c r="E12" s="266">
        <v>16</v>
      </c>
      <c r="F12" s="275" t="s">
        <v>1249</v>
      </c>
      <c r="G12" s="256" t="s">
        <v>1250</v>
      </c>
      <c r="H12" s="256" t="s">
        <v>1251</v>
      </c>
      <c r="I12" s="256" t="s">
        <v>1243</v>
      </c>
      <c r="J12" s="253">
        <v>1</v>
      </c>
      <c r="K12" s="253">
        <v>7</v>
      </c>
      <c r="L12" s="253">
        <v>7</v>
      </c>
      <c r="M12" s="267" t="s">
        <v>1227</v>
      </c>
      <c r="N12" s="259"/>
      <c r="O12" s="260" t="s">
        <v>1252</v>
      </c>
      <c r="P12" s="261" t="s">
        <v>1190</v>
      </c>
      <c r="Q12" s="261" t="s">
        <v>1191</v>
      </c>
      <c r="R12" s="267" t="s">
        <v>1253</v>
      </c>
      <c r="S12" s="268" t="s">
        <v>1239</v>
      </c>
      <c r="T12" s="261" t="s">
        <v>1194</v>
      </c>
      <c r="U12" s="267" t="s">
        <v>1254</v>
      </c>
      <c r="V12" s="261" t="s">
        <v>1218</v>
      </c>
      <c r="W12" s="261" t="s">
        <v>1197</v>
      </c>
      <c r="X12" s="270"/>
      <c r="Y12" s="271" t="s">
        <v>1232</v>
      </c>
      <c r="Z12" s="264" t="s">
        <v>1255</v>
      </c>
      <c r="AA12" s="261" t="s">
        <v>1200</v>
      </c>
      <c r="AB12" s="261" t="s">
        <v>1201</v>
      </c>
      <c r="AC12" s="271"/>
    </row>
    <row r="13" s="221" customFormat="1" ht="52" spans="1:29">
      <c r="A13" s="276">
        <v>8</v>
      </c>
      <c r="B13" s="277" t="s">
        <v>1256</v>
      </c>
      <c r="C13" s="278" t="s">
        <v>1257</v>
      </c>
      <c r="D13" s="279">
        <v>6</v>
      </c>
      <c r="E13" s="279" t="s">
        <v>1258</v>
      </c>
      <c r="F13" s="276" t="s">
        <v>1259</v>
      </c>
      <c r="G13" s="276" t="s">
        <v>1260</v>
      </c>
      <c r="H13" s="280" t="s">
        <v>1261</v>
      </c>
      <c r="I13" s="281" t="s">
        <v>1262</v>
      </c>
      <c r="J13" s="282">
        <v>8</v>
      </c>
      <c r="K13" s="283">
        <v>8</v>
      </c>
      <c r="L13" s="283">
        <v>8</v>
      </c>
      <c r="M13" s="284" t="s">
        <v>1227</v>
      </c>
      <c r="N13" s="285"/>
      <c r="O13" s="286" t="s">
        <v>1263</v>
      </c>
      <c r="P13" s="287" t="s">
        <v>1190</v>
      </c>
      <c r="Q13" s="287" t="s">
        <v>1191</v>
      </c>
      <c r="R13" s="288" t="s">
        <v>1264</v>
      </c>
      <c r="S13" s="288" t="s">
        <v>1239</v>
      </c>
      <c r="T13" s="287" t="s">
        <v>1265</v>
      </c>
      <c r="U13" s="288" t="s">
        <v>1266</v>
      </c>
      <c r="V13" s="287" t="s">
        <v>1218</v>
      </c>
      <c r="W13" s="287" t="s">
        <v>1197</v>
      </c>
      <c r="X13" s="289"/>
      <c r="Y13" s="290" t="s">
        <v>1198</v>
      </c>
      <c r="Z13" s="290" t="s">
        <v>1199</v>
      </c>
      <c r="AA13" s="287" t="s">
        <v>1200</v>
      </c>
      <c r="AB13" s="290" t="s">
        <v>1201</v>
      </c>
      <c r="AC13" s="281"/>
    </row>
    <row r="14" ht="174.5" spans="1:29">
      <c r="A14" s="291">
        <v>8</v>
      </c>
      <c r="B14" s="292" t="s">
        <v>1267</v>
      </c>
      <c r="C14" s="293" t="s">
        <v>1268</v>
      </c>
      <c r="D14" s="294" t="s">
        <v>847</v>
      </c>
      <c r="E14" s="293">
        <v>87</v>
      </c>
      <c r="F14" s="295" t="s">
        <v>1269</v>
      </c>
      <c r="G14" s="296" t="s">
        <v>1270</v>
      </c>
      <c r="H14" s="296" t="s">
        <v>1271</v>
      </c>
      <c r="I14" s="297" t="s">
        <v>1212</v>
      </c>
      <c r="J14" s="298">
        <v>1</v>
      </c>
      <c r="K14" s="298">
        <v>8</v>
      </c>
      <c r="L14" s="298">
        <v>8</v>
      </c>
      <c r="M14" s="297" t="s">
        <v>1227</v>
      </c>
      <c r="N14" s="296"/>
      <c r="O14" s="299" t="s">
        <v>1272</v>
      </c>
      <c r="P14" s="300" t="s">
        <v>1190</v>
      </c>
      <c r="Q14" s="299" t="s">
        <v>1191</v>
      </c>
      <c r="R14" s="301" t="s">
        <v>1273</v>
      </c>
      <c r="S14" s="302" t="s">
        <v>1274</v>
      </c>
      <c r="T14" s="300" t="s">
        <v>1194</v>
      </c>
      <c r="U14" s="262" t="s">
        <v>1275</v>
      </c>
      <c r="V14" s="300" t="s">
        <v>1276</v>
      </c>
      <c r="W14" s="300" t="s">
        <v>1277</v>
      </c>
      <c r="X14" s="303"/>
      <c r="Y14" s="304" t="s">
        <v>1278</v>
      </c>
      <c r="Z14" s="304" t="s">
        <v>1279</v>
      </c>
      <c r="AA14" s="300" t="s">
        <v>1200</v>
      </c>
      <c r="AB14" s="300" t="s">
        <v>1201</v>
      </c>
      <c r="AC14" s="305" t="s">
        <v>1280</v>
      </c>
    </row>
    <row r="15" ht="162" spans="1:29">
      <c r="A15" s="291">
        <v>9</v>
      </c>
      <c r="B15" s="292" t="s">
        <v>1281</v>
      </c>
      <c r="C15" s="293" t="s">
        <v>1268</v>
      </c>
      <c r="D15" s="294" t="s">
        <v>1282</v>
      </c>
      <c r="E15" s="293">
        <v>87</v>
      </c>
      <c r="F15" s="295" t="s">
        <v>1283</v>
      </c>
      <c r="G15" s="296" t="s">
        <v>1284</v>
      </c>
      <c r="H15" s="296" t="s">
        <v>1271</v>
      </c>
      <c r="I15" s="297" t="s">
        <v>1212</v>
      </c>
      <c r="J15" s="298">
        <v>1</v>
      </c>
      <c r="K15" s="298">
        <v>9</v>
      </c>
      <c r="L15" s="298">
        <v>9</v>
      </c>
      <c r="M15" s="297" t="s">
        <v>1227</v>
      </c>
      <c r="N15" s="296"/>
      <c r="O15" s="299" t="s">
        <v>1272</v>
      </c>
      <c r="P15" s="300" t="s">
        <v>1190</v>
      </c>
      <c r="Q15" s="299" t="s">
        <v>1191</v>
      </c>
      <c r="R15" s="301" t="s">
        <v>1285</v>
      </c>
      <c r="S15" s="302" t="s">
        <v>1274</v>
      </c>
      <c r="T15" s="300" t="s">
        <v>1194</v>
      </c>
      <c r="U15" s="262" t="s">
        <v>1275</v>
      </c>
      <c r="V15" s="300" t="s">
        <v>1276</v>
      </c>
      <c r="W15" s="300" t="s">
        <v>1277</v>
      </c>
      <c r="X15" s="303"/>
      <c r="Y15" s="304" t="s">
        <v>1278</v>
      </c>
      <c r="Z15" s="304" t="s">
        <v>1279</v>
      </c>
      <c r="AA15" s="300" t="s">
        <v>1200</v>
      </c>
      <c r="AB15" s="300" t="s">
        <v>1201</v>
      </c>
      <c r="AC15" s="305" t="s">
        <v>1280</v>
      </c>
    </row>
    <row r="16" ht="156" spans="1:29">
      <c r="A16" s="306">
        <v>10</v>
      </c>
      <c r="B16" s="295" t="s">
        <v>1286</v>
      </c>
      <c r="C16" s="293" t="s">
        <v>1287</v>
      </c>
      <c r="D16" s="293">
        <v>48</v>
      </c>
      <c r="E16" s="293">
        <v>87</v>
      </c>
      <c r="F16" s="295" t="s">
        <v>1288</v>
      </c>
      <c r="G16" s="296" t="s">
        <v>1289</v>
      </c>
      <c r="H16" s="296" t="s">
        <v>1290</v>
      </c>
      <c r="I16" s="258" t="s">
        <v>1212</v>
      </c>
      <c r="J16" s="298">
        <v>1</v>
      </c>
      <c r="K16" s="298" t="s">
        <v>1291</v>
      </c>
      <c r="L16" s="298">
        <v>10</v>
      </c>
      <c r="M16" s="258" t="s">
        <v>1227</v>
      </c>
      <c r="N16" s="307"/>
      <c r="O16" s="308" t="s">
        <v>1292</v>
      </c>
      <c r="P16" s="300" t="s">
        <v>1190</v>
      </c>
      <c r="Q16" s="300" t="s">
        <v>1191</v>
      </c>
      <c r="R16" s="309" t="s">
        <v>1293</v>
      </c>
      <c r="S16" s="310" t="s">
        <v>1294</v>
      </c>
      <c r="T16" s="311" t="s">
        <v>1194</v>
      </c>
      <c r="U16" s="309" t="s">
        <v>1295</v>
      </c>
      <c r="V16" s="300" t="s">
        <v>1239</v>
      </c>
      <c r="W16" s="300" t="s">
        <v>1296</v>
      </c>
      <c r="X16" s="303" t="s">
        <v>1207</v>
      </c>
      <c r="Y16" s="304" t="s">
        <v>1297</v>
      </c>
      <c r="Z16" s="304" t="s">
        <v>1298</v>
      </c>
      <c r="AA16" s="300" t="s">
        <v>1200</v>
      </c>
      <c r="AB16" s="300" t="s">
        <v>1201</v>
      </c>
      <c r="AC16" s="293"/>
    </row>
  </sheetData>
  <sheetProtection selectLockedCells="1" formatCells="0" formatColumns="0" formatRows="0" insertRows="0" insertColumns="0" insertHyperlinks="0" deleteColumns="0" deleteRows="0" sort="0" autoFilter="0" pivotTables="0"/>
  <mergeCells count="25">
    <mergeCell ref="C4:E4"/>
    <mergeCell ref="F4:G4"/>
    <mergeCell ref="H4:I4"/>
    <mergeCell ref="J4:L4"/>
    <mergeCell ref="A4:A5"/>
    <mergeCell ref="B4:B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1:G3"/>
    <mergeCell ref="H1:M3"/>
  </mergeCells>
  <conditionalFormatting sqref="C4">
    <cfRule type="expression" dxfId="10" priority="19" stopIfTrue="1">
      <formula>AND(COUNTIF(#REF!,C4)&gt;1,NOT(ISBLANK(C4)))</formula>
    </cfRule>
  </conditionalFormatting>
  <conditionalFormatting sqref="E5">
    <cfRule type="duplicateValues" dxfId="11" priority="105"/>
  </conditionalFormatting>
  <conditionalFormatting sqref="C6:D6">
    <cfRule type="duplicateValues" dxfId="11" priority="14"/>
  </conditionalFormatting>
  <conditionalFormatting sqref="E6">
    <cfRule type="duplicateValues" dxfId="11" priority="13"/>
  </conditionalFormatting>
  <conditionalFormatting sqref="C7:D7">
    <cfRule type="expression" dxfId="10" priority="6" stopIfTrue="1">
      <formula>AND(COUNTIF(#REF!,C7)&gt;1,NOT(ISBLANK(C7)))</formula>
    </cfRule>
    <cfRule type="duplicateValues" dxfId="11" priority="7"/>
    <cfRule type="duplicateValues" dxfId="11" priority="9"/>
  </conditionalFormatting>
  <conditionalFormatting sqref="E7">
    <cfRule type="duplicateValues" dxfId="11" priority="10"/>
  </conditionalFormatting>
  <conditionalFormatting sqref="G16:H16">
    <cfRule type="cellIs" dxfId="5" priority="1" stopIfTrue="1" operator="equal">
      <formula>"tbd"</formula>
    </cfRule>
  </conditionalFormatting>
  <conditionalFormatting sqref="G14:G15">
    <cfRule type="cellIs" dxfId="5" priority="4" stopIfTrue="1" operator="equal">
      <formula>"tbd"</formula>
    </cfRule>
  </conditionalFormatting>
  <conditionalFormatting sqref="H6:H15">
    <cfRule type="cellIs" dxfId="5" priority="3" stopIfTrue="1" operator="equal">
      <formula>"tbd"</formula>
    </cfRule>
  </conditionalFormatting>
  <conditionalFormatting sqref="N14:N15">
    <cfRule type="cellIs" dxfId="5" priority="2" stopIfTrue="1" operator="equal">
      <formula>"tbd"</formula>
    </cfRule>
  </conditionalFormatting>
  <conditionalFormatting sqref="C5:D5 C4">
    <cfRule type="duplicateValues" dxfId="11" priority="103"/>
  </conditionalFormatting>
  <conditionalFormatting sqref="C5:E7">
    <cfRule type="expression" dxfId="10" priority="11" stopIfTrue="1">
      <formula>AND(COUNTIF(#REF!,C5)&gt;1,NOT(ISBLANK(C5)))</formula>
    </cfRule>
  </conditionalFormatting>
  <conditionalFormatting sqref="G6:G12 I12">
    <cfRule type="cellIs" dxfId="5" priority="8" stopIfTrue="1" operator="equal">
      <formula>"tbd"</formula>
    </cfRule>
  </conditionalFormatting>
  <dataValidations count="6">
    <dataValidation type="list" allowBlank="1" showInputMessage="1" showErrorMessage="1" sqref="I6:I16">
      <formula1>"Switch Faults,Sensor Faults,Network Faults,Actuator Faults,ECU Internal Faults,Harness Faults,Voltage Faults,Signal Faults,Other Faults"</formula1>
    </dataValidation>
    <dataValidation allowBlank="1" showInputMessage="1" showErrorMessage="1" sqref="M1:M5"/>
    <dataValidation type="list" allowBlank="1" showInputMessage="1" showErrorMessage="1" sqref="M6:M16">
      <formula1>"1级,2级,3级"</formula1>
    </dataValidation>
    <dataValidation type="list" allowBlank="1" showInputMessage="1" showErrorMessage="1" sqref="M17:M1048576">
      <formula1>"1,2,3"</formula1>
    </dataValidation>
    <dataValidation type="list" allowBlank="1" showInputMessage="1" showErrorMessage="1" sqref="P6:P1048576">
      <formula1>"Continuous,Discontinuous,Other"</formula1>
    </dataValidation>
    <dataValidation type="list" allowBlank="1" showInputMessage="1" showErrorMessage="1" sqref="AA6:AA1048576">
      <formula1>"supported,not supported"</formula1>
    </dataValidation>
  </dataValidations>
  <pageMargins left="0.75" right="0.75" top="1" bottom="1" header="0.5" footer="0.5"/>
  <pageSetup paperSize="9" scale="22" orientation="landscape" verticalDpi="1200"/>
  <headerFooter alignWithMargins="0"/>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3"/>
  <sheetViews>
    <sheetView zoomScale="85" zoomScaleNormal="85" zoomScaleSheetLayoutView="85" workbookViewId="0">
      <selection activeCell="E33" sqref="E33"/>
    </sheetView>
  </sheetViews>
  <sheetFormatPr defaultColWidth="9" defaultRowHeight="13"/>
  <cols>
    <col min="1" max="1" width="15.3636363636364" style="156" customWidth="1"/>
    <col min="2" max="2" width="8.90909090909091" style="156" customWidth="1"/>
    <col min="3" max="3" width="92.4545454545455" style="156" customWidth="1"/>
    <col min="4" max="4" width="12.6363636363636" style="156" customWidth="1"/>
    <col min="5" max="5" width="16.7272727272727" style="156" customWidth="1"/>
    <col min="6" max="6" width="24.0909090909091" style="156" customWidth="1"/>
    <col min="7" max="7" width="23.4545454545455" style="156" customWidth="1"/>
    <col min="8" max="8" width="9.09090909090909" style="156" customWidth="1"/>
    <col min="9" max="9" width="12.6363636363636" style="157" customWidth="1"/>
    <col min="10" max="10" width="9" style="156"/>
    <col min="11" max="11" width="17.6363636363636" style="156" customWidth="1"/>
    <col min="12" max="12" width="9" style="156"/>
    <col min="13" max="14" width="13.4545454545455" style="156" customWidth="1"/>
    <col min="15" max="16" width="9" style="156"/>
    <col min="17" max="17" width="12.2727272727273" style="156" customWidth="1"/>
    <col min="18" max="16384" width="9" style="156"/>
  </cols>
  <sheetData>
    <row r="1" ht="14.5" customHeight="1" spans="1:8">
      <c r="A1" s="158" t="s">
        <v>1299</v>
      </c>
      <c r="B1" s="158"/>
      <c r="C1" s="158"/>
      <c r="D1" s="158"/>
      <c r="E1" s="158"/>
      <c r="F1" s="158"/>
      <c r="G1" s="158"/>
      <c r="H1" s="158"/>
    </row>
    <row r="2" ht="19" customHeight="1" spans="1:8">
      <c r="A2" s="158"/>
      <c r="B2" s="158"/>
      <c r="C2" s="158"/>
      <c r="D2" s="158"/>
      <c r="E2" s="158"/>
      <c r="F2" s="158"/>
      <c r="G2" s="158"/>
      <c r="H2" s="158"/>
    </row>
    <row r="3" ht="50.15" customHeight="1" spans="1:8">
      <c r="A3" s="158"/>
      <c r="B3" s="158"/>
      <c r="C3" s="158"/>
      <c r="D3" s="158"/>
      <c r="E3" s="158"/>
      <c r="F3" s="158"/>
      <c r="G3" s="158"/>
      <c r="H3" s="158"/>
    </row>
    <row r="4" ht="12" customHeight="1" spans="1:8">
      <c r="A4" s="159" t="s">
        <v>1300</v>
      </c>
      <c r="B4" s="159" t="s">
        <v>1301</v>
      </c>
      <c r="C4" s="160" t="s">
        <v>1302</v>
      </c>
      <c r="D4" s="159" t="s">
        <v>1303</v>
      </c>
      <c r="E4" s="159" t="s">
        <v>1304</v>
      </c>
      <c r="F4" s="159" t="s">
        <v>1305</v>
      </c>
      <c r="G4" s="159" t="s">
        <v>1306</v>
      </c>
      <c r="H4" s="159" t="s">
        <v>459</v>
      </c>
    </row>
    <row r="5" ht="15.65" customHeight="1" spans="1:8">
      <c r="A5" s="159"/>
      <c r="B5" s="159"/>
      <c r="C5" s="160"/>
      <c r="D5" s="159"/>
      <c r="E5" s="159"/>
      <c r="F5" s="159"/>
      <c r="G5" s="159"/>
      <c r="H5" s="159"/>
    </row>
    <row r="6" ht="24" customHeight="1" spans="1:8">
      <c r="A6" s="161"/>
      <c r="B6" s="161"/>
      <c r="C6" s="161"/>
      <c r="D6" s="161"/>
      <c r="E6" s="161"/>
      <c r="F6" s="161"/>
      <c r="G6" s="161"/>
      <c r="H6" s="161"/>
    </row>
    <row r="7" spans="1:8">
      <c r="A7" s="162" t="s">
        <v>469</v>
      </c>
      <c r="B7" s="162" t="s">
        <v>469</v>
      </c>
      <c r="C7" s="162" t="s">
        <v>193</v>
      </c>
      <c r="D7" s="163" t="s">
        <v>1307</v>
      </c>
      <c r="E7" s="164" t="s">
        <v>790</v>
      </c>
      <c r="F7" s="165" t="s">
        <v>791</v>
      </c>
      <c r="G7" s="165" t="s">
        <v>792</v>
      </c>
      <c r="H7" s="166"/>
    </row>
    <row r="8" spans="1:8">
      <c r="A8" s="162"/>
      <c r="B8" s="162"/>
      <c r="C8" s="162"/>
      <c r="D8" s="163"/>
      <c r="E8" s="164" t="s">
        <v>795</v>
      </c>
      <c r="F8" s="165" t="s">
        <v>796</v>
      </c>
      <c r="G8" s="165" t="s">
        <v>797</v>
      </c>
      <c r="H8" s="166"/>
    </row>
    <row r="9" spans="1:8">
      <c r="A9" s="162"/>
      <c r="B9" s="162"/>
      <c r="C9" s="162"/>
      <c r="D9" s="163"/>
      <c r="E9" s="164" t="s">
        <v>800</v>
      </c>
      <c r="F9" s="165" t="s">
        <v>801</v>
      </c>
      <c r="G9" s="165" t="s">
        <v>802</v>
      </c>
      <c r="H9" s="166"/>
    </row>
    <row r="10" spans="1:8">
      <c r="A10" s="162"/>
      <c r="B10" s="162"/>
      <c r="C10" s="162"/>
      <c r="D10" s="163"/>
      <c r="E10" s="167" t="s">
        <v>807</v>
      </c>
      <c r="F10" s="168" t="s">
        <v>772</v>
      </c>
      <c r="G10" s="168" t="s">
        <v>1308</v>
      </c>
      <c r="H10" s="169"/>
    </row>
    <row r="11" spans="1:8">
      <c r="A11" s="162"/>
      <c r="B11" s="162"/>
      <c r="C11" s="162"/>
      <c r="D11" s="163"/>
      <c r="E11" s="167"/>
      <c r="F11" s="168" t="s">
        <v>772</v>
      </c>
      <c r="G11" s="168" t="s">
        <v>1309</v>
      </c>
      <c r="H11" s="169"/>
    </row>
    <row r="12" spans="1:8">
      <c r="A12" s="162"/>
      <c r="B12" s="162"/>
      <c r="C12" s="162"/>
      <c r="D12" s="163"/>
      <c r="E12" s="167"/>
      <c r="F12" s="168" t="s">
        <v>772</v>
      </c>
      <c r="G12" s="168" t="s">
        <v>1310</v>
      </c>
      <c r="H12" s="169"/>
    </row>
    <row r="13" spans="1:8">
      <c r="A13" s="162"/>
      <c r="B13" s="162"/>
      <c r="C13" s="162"/>
      <c r="D13" s="163"/>
      <c r="E13" s="167"/>
      <c r="F13" s="168" t="s">
        <v>772</v>
      </c>
      <c r="G13" s="168" t="s">
        <v>1311</v>
      </c>
      <c r="H13" s="169"/>
    </row>
    <row r="14" spans="1:8">
      <c r="A14" s="162"/>
      <c r="B14" s="162"/>
      <c r="C14" s="162"/>
      <c r="D14" s="163"/>
      <c r="E14" s="167"/>
      <c r="F14" s="168" t="s">
        <v>772</v>
      </c>
      <c r="G14" s="168" t="s">
        <v>1312</v>
      </c>
      <c r="H14" s="169"/>
    </row>
    <row r="15" spans="1:8">
      <c r="A15" s="162"/>
      <c r="B15" s="162"/>
      <c r="C15" s="162"/>
      <c r="D15" s="163"/>
      <c r="E15" s="167"/>
      <c r="F15" s="168" t="s">
        <v>772</v>
      </c>
      <c r="G15" s="168" t="s">
        <v>1313</v>
      </c>
      <c r="H15" s="169"/>
    </row>
    <row r="16" spans="1:8">
      <c r="A16" s="162"/>
      <c r="B16" s="162"/>
      <c r="C16" s="162"/>
      <c r="D16" s="163"/>
      <c r="E16" s="167" t="s">
        <v>809</v>
      </c>
      <c r="F16" s="168" t="s">
        <v>1314</v>
      </c>
      <c r="G16" s="168" t="s">
        <v>811</v>
      </c>
      <c r="H16" s="169"/>
    </row>
    <row r="17" spans="1:8">
      <c r="A17" s="162"/>
      <c r="B17" s="162"/>
      <c r="C17" s="162"/>
      <c r="D17" s="163"/>
      <c r="E17" s="167" t="s">
        <v>812</v>
      </c>
      <c r="F17" s="168" t="s">
        <v>815</v>
      </c>
      <c r="G17" s="168" t="s">
        <v>814</v>
      </c>
      <c r="H17" s="169"/>
    </row>
    <row r="18" spans="1:8">
      <c r="A18" s="162"/>
      <c r="B18" s="162"/>
      <c r="C18" s="162"/>
      <c r="D18" s="163"/>
      <c r="E18" s="170" t="s">
        <v>780</v>
      </c>
      <c r="F18" s="168" t="s">
        <v>759</v>
      </c>
      <c r="G18" s="168" t="s">
        <v>760</v>
      </c>
      <c r="H18" s="171"/>
    </row>
    <row r="19" spans="1:8">
      <c r="A19" s="162"/>
      <c r="B19" s="162"/>
      <c r="C19" s="162"/>
      <c r="D19" s="163"/>
      <c r="E19" s="170"/>
      <c r="F19" s="168" t="s">
        <v>784</v>
      </c>
      <c r="G19" s="168" t="s">
        <v>785</v>
      </c>
      <c r="H19" s="171"/>
    </row>
    <row r="20" spans="1:8">
      <c r="A20" s="162"/>
      <c r="B20" s="162"/>
      <c r="C20" s="162"/>
      <c r="D20" s="163"/>
      <c r="E20" s="170"/>
      <c r="F20" s="168" t="s">
        <v>763</v>
      </c>
      <c r="G20" s="168" t="s">
        <v>764</v>
      </c>
      <c r="H20" s="171"/>
    </row>
    <row r="21" spans="1:8">
      <c r="A21" s="162"/>
      <c r="B21" s="162"/>
      <c r="C21" s="162"/>
      <c r="D21" s="163"/>
      <c r="E21" s="170"/>
      <c r="F21" s="168" t="s">
        <v>766</v>
      </c>
      <c r="G21" s="168" t="s">
        <v>767</v>
      </c>
      <c r="H21" s="171"/>
    </row>
    <row r="22" spans="1:8">
      <c r="A22" s="162"/>
      <c r="B22" s="162"/>
      <c r="C22" s="162"/>
      <c r="D22" s="163"/>
      <c r="E22" s="170"/>
      <c r="F22" s="168" t="s">
        <v>769</v>
      </c>
      <c r="G22" s="168" t="s">
        <v>770</v>
      </c>
      <c r="H22" s="172"/>
    </row>
    <row r="23" spans="1:8">
      <c r="A23" s="173"/>
      <c r="B23" s="173"/>
      <c r="C23" s="174"/>
      <c r="D23" s="175"/>
      <c r="E23" s="176"/>
      <c r="F23" s="177"/>
      <c r="G23" s="177"/>
      <c r="H23" s="178"/>
    </row>
    <row r="24" spans="1:8">
      <c r="A24" s="173"/>
      <c r="B24" s="173"/>
      <c r="C24" s="174"/>
      <c r="D24" s="175"/>
      <c r="E24" s="176"/>
      <c r="F24" s="177"/>
      <c r="G24" s="177"/>
      <c r="H24" s="178"/>
    </row>
    <row r="25" spans="1:8">
      <c r="A25" s="173"/>
      <c r="B25" s="173"/>
      <c r="C25" s="174"/>
      <c r="D25" s="175"/>
      <c r="E25" s="176"/>
      <c r="F25" s="177"/>
      <c r="G25" s="177"/>
      <c r="H25" s="178"/>
    </row>
    <row r="26" spans="1:8">
      <c r="A26" s="173"/>
      <c r="B26" s="173"/>
      <c r="C26" s="174"/>
      <c r="D26" s="175"/>
      <c r="E26" s="176"/>
      <c r="F26" s="177"/>
      <c r="G26" s="177"/>
      <c r="H26" s="178"/>
    </row>
    <row r="27" spans="1:8">
      <c r="A27" s="173"/>
      <c r="B27" s="173"/>
      <c r="C27" s="174"/>
      <c r="D27" s="175"/>
      <c r="E27" s="176"/>
      <c r="F27" s="177"/>
      <c r="G27" s="177"/>
      <c r="H27" s="178"/>
    </row>
    <row r="28" spans="1:8">
      <c r="A28" s="173"/>
      <c r="B28" s="173"/>
      <c r="C28" s="174"/>
      <c r="D28" s="175"/>
      <c r="E28" s="176"/>
      <c r="F28" s="177"/>
      <c r="G28" s="177"/>
      <c r="H28" s="178"/>
    </row>
    <row r="29" spans="1:8">
      <c r="A29" s="173"/>
      <c r="B29" s="173"/>
      <c r="C29" s="174"/>
      <c r="D29" s="175"/>
      <c r="E29" s="176"/>
      <c r="F29" s="177"/>
      <c r="G29" s="177"/>
      <c r="H29" s="178"/>
    </row>
    <row r="30" ht="12" customHeight="1" spans="1:8">
      <c r="A30" s="174"/>
      <c r="B30" s="174"/>
      <c r="C30" s="174"/>
      <c r="D30" s="179"/>
      <c r="E30" s="176"/>
      <c r="F30" s="177"/>
      <c r="G30" s="177"/>
      <c r="H30" s="180"/>
    </row>
    <row r="31" spans="1:8">
      <c r="A31" s="174"/>
      <c r="B31" s="174"/>
      <c r="C31" s="174"/>
      <c r="D31" s="179"/>
      <c r="E31" s="176"/>
      <c r="F31" s="177"/>
      <c r="G31" s="177"/>
      <c r="H31" s="180"/>
    </row>
    <row r="32" spans="1:8">
      <c r="A32" s="174"/>
      <c r="B32" s="174"/>
      <c r="C32" s="174"/>
      <c r="D32" s="179"/>
      <c r="E32" s="176"/>
      <c r="F32" s="177"/>
      <c r="G32" s="177"/>
      <c r="H32" s="180"/>
    </row>
    <row r="33" spans="1:16">
      <c r="A33" s="174"/>
      <c r="B33" s="174"/>
      <c r="C33" s="174"/>
      <c r="D33" s="179"/>
      <c r="E33" s="176"/>
      <c r="F33" s="177"/>
      <c r="G33" s="177"/>
      <c r="H33" s="180"/>
    </row>
    <row r="34" spans="1:16">
      <c r="A34" s="174"/>
      <c r="B34" s="174"/>
      <c r="C34" s="174"/>
      <c r="D34" s="179"/>
      <c r="E34" s="176"/>
      <c r="F34" s="177"/>
      <c r="G34" s="177"/>
      <c r="H34" s="180"/>
    </row>
    <row r="35" spans="1:16">
      <c r="A35" s="174"/>
      <c r="B35" s="174"/>
      <c r="C35" s="174"/>
      <c r="D35" s="179"/>
      <c r="E35" s="176"/>
      <c r="F35" s="177"/>
      <c r="G35" s="177"/>
      <c r="H35" s="180"/>
    </row>
    <row r="36" spans="1:16">
      <c r="A36" s="174"/>
      <c r="B36" s="174"/>
      <c r="C36" s="174"/>
      <c r="D36" s="179"/>
      <c r="E36" s="176"/>
      <c r="F36" s="177"/>
      <c r="G36" s="177"/>
      <c r="H36" s="180"/>
    </row>
    <row r="37" spans="1:16">
      <c r="A37" s="174"/>
      <c r="B37" s="174"/>
      <c r="C37" s="174"/>
      <c r="D37" s="179"/>
      <c r="E37" s="176"/>
      <c r="F37" s="177"/>
      <c r="G37" s="177"/>
      <c r="H37" s="180"/>
    </row>
    <row r="38" spans="1:16">
      <c r="A38" s="174"/>
      <c r="B38" s="174"/>
      <c r="C38" s="174"/>
      <c r="D38" s="179"/>
      <c r="E38" s="176"/>
      <c r="F38" s="177"/>
      <c r="G38" s="177"/>
      <c r="H38" s="180"/>
    </row>
    <row r="39" spans="1:16">
      <c r="A39" s="174"/>
      <c r="B39" s="174"/>
      <c r="C39" s="174"/>
      <c r="D39" s="179"/>
      <c r="E39" s="176"/>
      <c r="F39" s="177"/>
      <c r="G39" s="177"/>
      <c r="H39" s="180"/>
    </row>
    <row r="40" spans="1:16">
      <c r="A40" s="174"/>
      <c r="B40" s="174"/>
      <c r="C40" s="174"/>
      <c r="D40" s="179"/>
      <c r="E40" s="176"/>
      <c r="F40" s="177"/>
      <c r="G40" s="177"/>
      <c r="H40" s="180"/>
    </row>
    <row r="41" spans="1:16">
      <c r="A41" s="174"/>
      <c r="B41" s="174"/>
      <c r="C41" s="174"/>
      <c r="D41" s="179"/>
      <c r="E41" s="176"/>
      <c r="F41" s="177"/>
      <c r="G41" s="177"/>
      <c r="H41" s="180"/>
    </row>
    <row r="45" ht="14.5" spans="1:16">
      <c r="A45" s="181"/>
      <c r="B45" s="182"/>
      <c r="C45" s="183"/>
      <c r="D45" s="184"/>
      <c r="E45" s="184"/>
      <c r="F45" s="184"/>
      <c r="G45" s="185"/>
      <c r="H45" s="185"/>
      <c r="I45" s="185"/>
      <c r="J45" s="185"/>
      <c r="K45" s="185"/>
      <c r="L45" s="185"/>
      <c r="M45" s="185"/>
      <c r="N45" s="185"/>
      <c r="O45" s="185"/>
      <c r="P45" s="185"/>
    </row>
    <row r="46" ht="14.5" spans="1:16">
      <c r="A46" s="181"/>
      <c r="B46" s="182"/>
      <c r="C46" s="186"/>
      <c r="D46" s="187"/>
      <c r="E46" s="184"/>
      <c r="F46" s="184"/>
      <c r="G46" s="185"/>
      <c r="H46" s="185"/>
      <c r="I46" s="185"/>
      <c r="J46" s="185"/>
      <c r="K46" s="185"/>
      <c r="L46" s="185"/>
      <c r="M46" s="185"/>
      <c r="N46" s="185"/>
      <c r="O46" s="185"/>
      <c r="P46" s="185"/>
    </row>
    <row r="47" ht="14.5" spans="1:16">
      <c r="A47" s="181"/>
      <c r="B47" s="182"/>
      <c r="C47" s="186"/>
      <c r="D47" s="187"/>
      <c r="E47" s="184"/>
      <c r="F47" s="184"/>
      <c r="G47" s="185"/>
      <c r="H47" s="185"/>
      <c r="I47" s="185"/>
      <c r="J47" s="185"/>
      <c r="K47" s="185"/>
      <c r="L47" s="185"/>
      <c r="M47" s="185"/>
      <c r="N47" s="188"/>
      <c r="O47" s="185"/>
      <c r="P47" s="185"/>
    </row>
    <row r="48" ht="14.5" spans="1:16">
      <c r="A48" s="181"/>
      <c r="B48" s="182"/>
      <c r="C48" s="186"/>
      <c r="D48" s="187"/>
      <c r="E48" s="189"/>
      <c r="F48" s="189"/>
      <c r="G48" s="190"/>
      <c r="H48" s="190"/>
      <c r="I48" s="190"/>
      <c r="J48" s="185"/>
      <c r="K48" s="185"/>
      <c r="L48" s="185"/>
      <c r="M48" s="185"/>
      <c r="N48" s="188"/>
      <c r="O48" s="185"/>
      <c r="P48" s="185"/>
    </row>
    <row r="49" ht="14.5" spans="1:16">
      <c r="A49" s="191"/>
      <c r="B49" s="192"/>
      <c r="C49" s="193"/>
      <c r="D49" s="194"/>
      <c r="E49" s="194"/>
      <c r="F49" s="194"/>
      <c r="G49" s="195"/>
      <c r="H49" s="196"/>
      <c r="I49" s="197"/>
      <c r="J49" s="198"/>
      <c r="K49" s="191"/>
      <c r="L49" s="199"/>
      <c r="M49" s="200"/>
      <c r="N49" s="200"/>
      <c r="O49" s="199"/>
      <c r="P49" s="201"/>
    </row>
    <row r="50" ht="14.5" spans="1:16">
      <c r="A50" s="191"/>
      <c r="B50" s="192"/>
      <c r="C50" s="193"/>
      <c r="D50" s="194"/>
      <c r="E50" s="194"/>
      <c r="F50" s="194"/>
      <c r="G50" s="195"/>
      <c r="H50" s="196"/>
      <c r="I50" s="197"/>
      <c r="J50" s="198"/>
      <c r="K50" s="191"/>
      <c r="L50" s="199"/>
      <c r="M50" s="200"/>
      <c r="N50" s="200"/>
      <c r="O50" s="199"/>
      <c r="P50" s="201"/>
    </row>
    <row r="51" ht="14.5" spans="1:16">
      <c r="A51" s="191"/>
      <c r="B51" s="192"/>
      <c r="C51" s="193"/>
      <c r="D51" s="194"/>
      <c r="E51" s="194"/>
      <c r="F51" s="194"/>
      <c r="G51" s="195"/>
      <c r="H51" s="196"/>
      <c r="I51" s="197"/>
      <c r="J51" s="198"/>
      <c r="K51" s="191"/>
      <c r="L51" s="199"/>
      <c r="M51" s="200"/>
      <c r="N51" s="200"/>
      <c r="O51" s="199"/>
      <c r="P51" s="201"/>
    </row>
    <row r="52" ht="14.5" spans="1:16">
      <c r="A52" s="191"/>
      <c r="B52" s="192"/>
      <c r="C52" s="193"/>
      <c r="D52" s="194"/>
      <c r="E52" s="194"/>
      <c r="F52" s="194"/>
      <c r="G52" s="195"/>
      <c r="H52" s="196"/>
      <c r="I52" s="197"/>
      <c r="J52" s="198"/>
      <c r="K52" s="191"/>
      <c r="L52" s="199"/>
      <c r="M52" s="200"/>
      <c r="N52" s="200"/>
      <c r="O52" s="199"/>
      <c r="P52" s="201"/>
    </row>
    <row r="53" ht="14.5" spans="1:16">
      <c r="A53" s="191"/>
      <c r="B53" s="192"/>
      <c r="C53" s="193"/>
      <c r="D53" s="194"/>
      <c r="E53" s="194"/>
      <c r="F53" s="194"/>
      <c r="G53" s="195"/>
      <c r="H53" s="196"/>
      <c r="I53" s="197"/>
      <c r="J53" s="198"/>
      <c r="K53" s="191"/>
      <c r="L53" s="199"/>
      <c r="M53" s="200"/>
      <c r="N53" s="200"/>
      <c r="O53" s="199"/>
      <c r="P53" s="201"/>
    </row>
    <row r="54" ht="14.5" spans="1:16">
      <c r="A54" s="191"/>
      <c r="B54" s="192"/>
      <c r="C54" s="193"/>
      <c r="D54" s="194"/>
      <c r="E54" s="194"/>
      <c r="F54" s="194"/>
      <c r="G54" s="195"/>
      <c r="H54" s="196"/>
      <c r="I54" s="197"/>
      <c r="J54" s="198"/>
      <c r="K54" s="191"/>
      <c r="L54" s="199"/>
      <c r="M54" s="200"/>
      <c r="N54" s="200"/>
      <c r="O54" s="199"/>
      <c r="P54" s="201"/>
    </row>
    <row r="55" ht="14.5" spans="1:16">
      <c r="A55" s="202"/>
      <c r="B55" s="202"/>
      <c r="C55" s="203"/>
      <c r="D55" s="187"/>
      <c r="E55" s="204"/>
      <c r="F55" s="204"/>
      <c r="G55" s="205"/>
      <c r="H55" s="204"/>
      <c r="I55" s="204"/>
      <c r="J55" s="206"/>
      <c r="K55" s="206"/>
      <c r="L55" s="206"/>
      <c r="M55" s="206"/>
      <c r="N55" s="206"/>
      <c r="O55" s="206"/>
      <c r="P55" s="206"/>
    </row>
    <row r="56" spans="1:16">
      <c r="A56" s="202"/>
      <c r="B56" s="202"/>
      <c r="C56" s="203"/>
      <c r="D56" s="203"/>
      <c r="E56" s="207"/>
      <c r="F56" s="208"/>
      <c r="G56" s="204"/>
      <c r="H56" s="208"/>
      <c r="I56" s="208"/>
      <c r="J56" s="209"/>
      <c r="K56" s="210"/>
      <c r="L56" s="209"/>
      <c r="M56" s="209"/>
      <c r="N56" s="209"/>
      <c r="O56" s="209"/>
      <c r="P56" s="209"/>
    </row>
    <row r="57" ht="14.5" spans="1:16">
      <c r="A57" s="202"/>
      <c r="B57" s="202"/>
      <c r="C57" s="211"/>
      <c r="D57" s="194"/>
      <c r="E57" s="194"/>
      <c r="F57" s="194"/>
      <c r="G57" s="195"/>
      <c r="H57" s="212"/>
      <c r="I57" s="197"/>
      <c r="J57" s="198"/>
      <c r="K57" s="191"/>
      <c r="L57" s="199"/>
      <c r="M57" s="200"/>
      <c r="N57" s="200"/>
      <c r="O57" s="201"/>
      <c r="P57" s="202"/>
    </row>
    <row r="58" ht="14.5" spans="1:16">
      <c r="A58" s="202"/>
      <c r="B58" s="202"/>
      <c r="C58" s="211"/>
      <c r="D58" s="194"/>
      <c r="E58" s="194"/>
      <c r="F58" s="194"/>
      <c r="G58" s="195"/>
      <c r="H58" s="212"/>
      <c r="I58" s="197"/>
      <c r="J58" s="198"/>
      <c r="K58" s="191"/>
      <c r="L58" s="199"/>
      <c r="M58" s="200"/>
      <c r="N58" s="200"/>
      <c r="O58" s="201"/>
      <c r="P58" s="202"/>
    </row>
    <row r="59" ht="14.5" spans="1:16">
      <c r="A59" s="202"/>
      <c r="B59" s="202"/>
      <c r="C59" s="211"/>
      <c r="D59" s="194"/>
      <c r="E59" s="194"/>
      <c r="F59" s="194"/>
      <c r="G59" s="195"/>
      <c r="H59" s="212"/>
      <c r="I59" s="197"/>
      <c r="J59" s="198"/>
      <c r="K59" s="191"/>
      <c r="L59" s="199"/>
      <c r="M59" s="200"/>
      <c r="N59" s="200"/>
      <c r="O59" s="201"/>
      <c r="P59" s="202"/>
    </row>
    <row r="60" ht="14.5" spans="1:16">
      <c r="A60" s="202"/>
      <c r="B60" s="202"/>
      <c r="C60" s="211"/>
      <c r="D60" s="194"/>
      <c r="E60" s="194"/>
      <c r="F60" s="194"/>
      <c r="G60" s="195"/>
      <c r="H60" s="212"/>
      <c r="I60" s="197"/>
      <c r="J60" s="198"/>
      <c r="K60" s="191"/>
      <c r="L60" s="199"/>
      <c r="M60" s="200"/>
      <c r="N60" s="200"/>
      <c r="O60" s="201"/>
      <c r="P60" s="202"/>
    </row>
    <row r="61" ht="14.5" spans="1:16">
      <c r="A61" s="202"/>
      <c r="B61" s="202"/>
      <c r="C61" s="211"/>
      <c r="D61" s="194"/>
      <c r="E61" s="194"/>
      <c r="F61" s="194"/>
      <c r="G61" s="195"/>
      <c r="H61" s="212"/>
      <c r="I61" s="197"/>
      <c r="J61" s="198"/>
      <c r="K61" s="191"/>
      <c r="L61" s="199"/>
      <c r="M61" s="200"/>
      <c r="N61" s="200"/>
      <c r="O61" s="201"/>
      <c r="P61" s="202"/>
    </row>
    <row r="62" ht="14.5" spans="1:16">
      <c r="A62" s="202"/>
      <c r="B62" s="202"/>
      <c r="C62" s="203"/>
      <c r="D62" s="213"/>
      <c r="E62" s="213"/>
      <c r="F62" s="194"/>
      <c r="G62" s="214"/>
      <c r="H62" s="212"/>
      <c r="I62" s="197"/>
      <c r="J62" s="198"/>
      <c r="K62" s="191"/>
      <c r="L62" s="191"/>
      <c r="M62" s="215"/>
      <c r="N62" s="200"/>
      <c r="O62" s="200"/>
      <c r="P62" s="202"/>
    </row>
    <row r="63" ht="14.5" spans="1:16">
      <c r="A63" s="202"/>
      <c r="B63" s="202"/>
      <c r="C63" s="202"/>
      <c r="D63" s="216"/>
      <c r="E63" s="216"/>
      <c r="F63" s="192"/>
      <c r="G63" s="217"/>
      <c r="H63" s="218"/>
      <c r="I63" s="201"/>
      <c r="J63" s="198"/>
      <c r="K63" s="191"/>
      <c r="L63" s="199"/>
      <c r="M63" s="200"/>
      <c r="N63" s="200"/>
      <c r="O63" s="201"/>
      <c r="P63" s="202"/>
    </row>
  </sheetData>
  <mergeCells count="17">
    <mergeCell ref="A6:H6"/>
    <mergeCell ref="A4:A5"/>
    <mergeCell ref="A7:A22"/>
    <mergeCell ref="A49:A54"/>
    <mergeCell ref="B4:B5"/>
    <mergeCell ref="B7:B22"/>
    <mergeCell ref="C4:C5"/>
    <mergeCell ref="C7:C22"/>
    <mergeCell ref="D4:D5"/>
    <mergeCell ref="D7:D22"/>
    <mergeCell ref="E4:E5"/>
    <mergeCell ref="E10:E15"/>
    <mergeCell ref="E18:E22"/>
    <mergeCell ref="F4:F5"/>
    <mergeCell ref="G4:G5"/>
    <mergeCell ref="H4:H5"/>
    <mergeCell ref="A1:H3"/>
  </mergeCells>
  <dataValidations count="1">
    <dataValidation type="list" allowBlank="1" showInputMessage="1" showErrorMessage="1" sqref="J49:J54 J57:J63">
      <formula1>"ASCII,Unsigned,Signed,Texttable,Bytefield,Float,Reserved"</formula1>
    </dataValidation>
  </dataValidations>
  <pageMargins left="0.699305555555556" right="0.699305555555556" top="0.75" bottom="0.75" header="0.3" footer="0.3"/>
  <pageSetup paperSize="9" scale="32" orientation="portrait"/>
  <headerFooter alignWithMargins="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zoomScale="115" zoomScaleNormal="115" workbookViewId="0">
      <selection activeCell="J20" sqref="J20"/>
    </sheetView>
  </sheetViews>
  <sheetFormatPr defaultColWidth="8.90909090909091" defaultRowHeight="13"/>
  <cols>
    <col min="1" max="1" width="6" style="133" customWidth="1"/>
    <col min="2" max="2" width="27.6363636363636" style="133" customWidth="1"/>
    <col min="3" max="3" width="32.0909090909091" style="133" customWidth="1"/>
    <col min="4" max="4" width="24.6363636363636" style="133" customWidth="1"/>
    <col min="5" max="5" width="16.9090909090909" style="133" customWidth="1"/>
    <col min="6" max="6" width="7" style="133" customWidth="1"/>
    <col min="7" max="7" width="10" style="133" customWidth="1"/>
    <col min="8" max="8" width="12.9090909090909" style="133" customWidth="1"/>
    <col min="9" max="9" width="13" style="133" customWidth="1"/>
    <col min="10" max="10" width="13.9090909090909" style="133" customWidth="1"/>
    <col min="11" max="11" width="7.90909090909091" style="133" customWidth="1"/>
    <col min="12" max="12" width="8.09090909090909" style="133" customWidth="1"/>
    <col min="13" max="13" width="11" style="133" customWidth="1"/>
    <col min="14" max="14" width="22.6363636363636" style="133" customWidth="1"/>
    <col min="15" max="16384" width="8.90909090909091" style="133"/>
  </cols>
  <sheetData>
    <row r="1" ht="14.5" customHeight="1" spans="1:14">
      <c r="A1" s="134" t="s">
        <v>1315</v>
      </c>
      <c r="B1" s="134"/>
      <c r="C1" s="134"/>
      <c r="D1" s="134"/>
      <c r="E1" s="135"/>
      <c r="F1" s="135"/>
      <c r="G1" s="135"/>
      <c r="H1" s="135"/>
      <c r="I1" s="135"/>
    </row>
    <row r="2" spans="1:14">
      <c r="A2" s="134"/>
      <c r="B2" s="134"/>
      <c r="C2" s="134"/>
      <c r="D2" s="134"/>
      <c r="E2" s="135"/>
      <c r="F2" s="135"/>
      <c r="G2" s="135"/>
      <c r="H2" s="135"/>
      <c r="I2" s="135"/>
    </row>
    <row r="3" spans="1:14">
      <c r="A3" s="136"/>
      <c r="B3" s="136"/>
      <c r="C3" s="136"/>
      <c r="D3" s="136"/>
    </row>
    <row r="4" ht="39" spans="1:14">
      <c r="A4" s="137" t="s">
        <v>437</v>
      </c>
      <c r="B4" s="137" t="s">
        <v>1316</v>
      </c>
      <c r="C4" s="137" t="s">
        <v>1317</v>
      </c>
      <c r="D4" s="138" t="s">
        <v>1318</v>
      </c>
      <c r="E4" s="138" t="s">
        <v>442</v>
      </c>
      <c r="F4" s="138" t="s">
        <v>443</v>
      </c>
      <c r="G4" s="138" t="s">
        <v>444</v>
      </c>
      <c r="H4" s="138" t="s">
        <v>874</v>
      </c>
      <c r="I4" s="138" t="s">
        <v>1319</v>
      </c>
      <c r="J4" s="138" t="s">
        <v>1320</v>
      </c>
      <c r="K4" s="138" t="s">
        <v>1321</v>
      </c>
      <c r="L4" s="138" t="s">
        <v>1322</v>
      </c>
      <c r="M4" s="138" t="s">
        <v>449</v>
      </c>
      <c r="N4" s="137" t="s">
        <v>1174</v>
      </c>
    </row>
    <row r="5" ht="29.25" customHeight="1" spans="1:14">
      <c r="A5" s="139" t="s">
        <v>856</v>
      </c>
      <c r="B5" s="140"/>
      <c r="C5" s="140"/>
      <c r="D5" s="140"/>
      <c r="E5" s="140"/>
      <c r="F5" s="140"/>
      <c r="G5" s="140"/>
      <c r="H5" s="140"/>
      <c r="I5" s="140"/>
      <c r="J5" s="140"/>
      <c r="K5" s="140"/>
      <c r="L5" s="140"/>
      <c r="M5" s="140"/>
      <c r="N5" s="141"/>
    </row>
    <row r="6" ht="39" spans="1:14">
      <c r="A6" s="142">
        <v>1</v>
      </c>
      <c r="B6" s="143" t="s">
        <v>263</v>
      </c>
      <c r="C6" s="142" t="s">
        <v>1323</v>
      </c>
      <c r="D6" s="144" t="s">
        <v>1324</v>
      </c>
      <c r="E6" s="145">
        <v>1</v>
      </c>
      <c r="F6" s="145">
        <v>0</v>
      </c>
      <c r="G6" s="145" t="s">
        <v>720</v>
      </c>
      <c r="H6" s="146" t="s">
        <v>93</v>
      </c>
      <c r="I6" s="147" t="s">
        <v>550</v>
      </c>
      <c r="J6" s="144">
        <v>0</v>
      </c>
      <c r="K6" s="144">
        <v>0</v>
      </c>
      <c r="L6" s="144">
        <v>255</v>
      </c>
      <c r="M6" s="148" t="s">
        <v>470</v>
      </c>
      <c r="N6" s="142"/>
    </row>
    <row r="7" ht="39" spans="1:14">
      <c r="A7" s="142">
        <v>2</v>
      </c>
      <c r="B7" s="143" t="s">
        <v>268</v>
      </c>
      <c r="C7" s="142" t="s">
        <v>1325</v>
      </c>
      <c r="D7" s="144" t="s">
        <v>1326</v>
      </c>
      <c r="E7" s="145">
        <v>1</v>
      </c>
      <c r="F7" s="145">
        <v>0</v>
      </c>
      <c r="G7" s="145" t="s">
        <v>720</v>
      </c>
      <c r="H7" s="146" t="s">
        <v>93</v>
      </c>
      <c r="I7" s="147" t="s">
        <v>550</v>
      </c>
      <c r="J7" s="144">
        <v>0</v>
      </c>
      <c r="K7" s="144">
        <v>0</v>
      </c>
      <c r="L7" s="144">
        <v>255</v>
      </c>
      <c r="M7" s="148" t="s">
        <v>470</v>
      </c>
      <c r="N7" s="142"/>
    </row>
    <row r="8" ht="30" customHeight="1" spans="1:14">
      <c r="A8" s="149">
        <v>1</v>
      </c>
      <c r="B8" s="150" t="s">
        <v>263</v>
      </c>
      <c r="C8" s="149" t="s">
        <v>1327</v>
      </c>
      <c r="D8" s="149" t="s">
        <v>1328</v>
      </c>
      <c r="E8" s="149">
        <v>1</v>
      </c>
      <c r="F8" s="149">
        <v>0</v>
      </c>
      <c r="G8" s="149" t="s">
        <v>720</v>
      </c>
      <c r="H8" s="149" t="s">
        <v>93</v>
      </c>
      <c r="I8" s="149" t="s">
        <v>1329</v>
      </c>
      <c r="J8" s="149">
        <v>0</v>
      </c>
      <c r="K8" s="149">
        <v>0</v>
      </c>
      <c r="L8" s="149">
        <v>255</v>
      </c>
      <c r="M8" s="149" t="s">
        <v>193</v>
      </c>
      <c r="N8" s="151" t="s">
        <v>1330</v>
      </c>
    </row>
    <row r="9" s="132" customFormat="1" ht="30" customHeight="1" spans="1:14">
      <c r="A9" s="149">
        <v>2</v>
      </c>
      <c r="B9" s="150" t="s">
        <v>268</v>
      </c>
      <c r="C9" s="149" t="s">
        <v>1331</v>
      </c>
      <c r="D9" s="149" t="s">
        <v>1326</v>
      </c>
      <c r="E9" s="149">
        <v>1</v>
      </c>
      <c r="F9" s="149">
        <v>1</v>
      </c>
      <c r="G9" s="149" t="s">
        <v>720</v>
      </c>
      <c r="H9" s="149" t="s">
        <v>93</v>
      </c>
      <c r="I9" s="149" t="s">
        <v>1329</v>
      </c>
      <c r="J9" s="149">
        <v>0</v>
      </c>
      <c r="K9" s="149">
        <v>0</v>
      </c>
      <c r="L9" s="149">
        <v>40</v>
      </c>
      <c r="M9" s="149" t="s">
        <v>193</v>
      </c>
      <c r="N9" s="151" t="s">
        <v>1332</v>
      </c>
    </row>
    <row r="10" spans="1:14">
      <c r="A10" s="149"/>
      <c r="B10" s="152"/>
      <c r="C10" s="149"/>
      <c r="D10" s="153"/>
      <c r="E10" s="153"/>
      <c r="F10" s="153"/>
      <c r="G10" s="153"/>
      <c r="H10" s="153"/>
      <c r="I10" s="153"/>
      <c r="J10" s="153"/>
      <c r="K10" s="153"/>
      <c r="L10" s="153"/>
      <c r="M10" s="153"/>
      <c r="N10" s="149"/>
    </row>
    <row r="11" spans="1:14">
      <c r="A11" s="149" t="s">
        <v>237</v>
      </c>
      <c r="B11" s="149"/>
      <c r="C11" s="149"/>
      <c r="D11" s="149"/>
      <c r="E11" s="149"/>
      <c r="F11" s="149"/>
      <c r="G11" s="149"/>
      <c r="H11" s="149"/>
      <c r="I11" s="149"/>
      <c r="J11" s="149"/>
      <c r="K11" s="149"/>
      <c r="L11" s="149"/>
      <c r="M11" s="149"/>
      <c r="N11" s="149"/>
    </row>
    <row r="14" spans="1:14">
      <c r="B14" s="154"/>
    </row>
    <row r="15" spans="1:14">
      <c r="G15" s="135"/>
      <c r="H15" s="155"/>
      <c r="I15" s="155"/>
      <c r="J15" s="135"/>
      <c r="K15" s="135"/>
      <c r="L15" s="135"/>
    </row>
    <row r="16" spans="1:14">
      <c r="G16" s="135"/>
      <c r="H16" s="135"/>
      <c r="I16" s="135"/>
      <c r="J16" s="135"/>
      <c r="K16" s="135"/>
      <c r="L16" s="135"/>
    </row>
    <row r="17" spans="7:12">
      <c r="G17" s="135"/>
      <c r="H17" s="135"/>
      <c r="I17" s="135"/>
      <c r="J17" s="135"/>
      <c r="K17" s="135"/>
      <c r="L17" s="135"/>
    </row>
    <row r="18" spans="7:12">
      <c r="G18" s="135"/>
      <c r="H18" s="135"/>
      <c r="I18" s="135"/>
      <c r="J18" s="135"/>
      <c r="K18" s="135"/>
      <c r="L18" s="135"/>
    </row>
    <row r="19" spans="7:12">
      <c r="G19" s="135"/>
      <c r="H19" s="135"/>
      <c r="I19" s="135"/>
      <c r="J19" s="135"/>
      <c r="K19" s="135"/>
      <c r="L19" s="135"/>
    </row>
  </sheetData>
  <mergeCells count="2">
    <mergeCell ref="A5:N5"/>
    <mergeCell ref="A1:D3"/>
  </mergeCells>
  <dataValidations count="2">
    <dataValidation type="list" allowBlank="1" showInputMessage="1" showErrorMessage="1" sqref="H6:H12 H16:H1048576">
      <formula1>"ASCII,Unsigned,Signed,Texttable,Bytefield,Float,Reserved"</formula1>
    </dataValidation>
    <dataValidation type="list" allowBlank="1" showInputMessage="1" showErrorMessage="1" sqref="M6:M7">
      <formula1>Predefined!$C$2:$C$69</formula1>
    </dataValidation>
  </dataValidation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D58"/>
  <sheetViews>
    <sheetView zoomScale="85" zoomScaleNormal="85" workbookViewId="0">
      <selection activeCell="A17" sqref="A17:C17"/>
    </sheetView>
  </sheetViews>
  <sheetFormatPr defaultColWidth="9" defaultRowHeight="14.5" outlineLevelCol="3"/>
  <cols>
    <col min="1" max="1" width="27.4545454545455" style="116" customWidth="1"/>
    <col min="2" max="2" width="60.3636363636364" style="116" customWidth="1"/>
    <col min="3" max="3" width="88.3636363636364" style="116" customWidth="1"/>
    <col min="4" max="16384" width="9" style="116"/>
  </cols>
  <sheetData>
    <row r="1" ht="17.15" customHeight="1" spans="1:4">
      <c r="A1" s="117" t="s">
        <v>1333</v>
      </c>
      <c r="B1" s="117"/>
      <c r="C1" s="117"/>
    </row>
    <row r="2" ht="20.15" customHeight="1" spans="1:4">
      <c r="A2" s="117" t="s">
        <v>1334</v>
      </c>
      <c r="B2" s="117"/>
      <c r="C2" s="117"/>
      <c r="D2" s="118"/>
    </row>
    <row r="3" s="114" customFormat="1" ht="27" customHeight="1" spans="1:4">
      <c r="A3" s="119" t="s">
        <v>1335</v>
      </c>
      <c r="B3" s="120" t="s">
        <v>1336</v>
      </c>
      <c r="C3" s="120" t="s">
        <v>873</v>
      </c>
    </row>
    <row r="4" spans="1:4">
      <c r="A4" s="121" t="s">
        <v>1337</v>
      </c>
      <c r="B4" s="121"/>
      <c r="C4" s="121"/>
    </row>
    <row r="5" spans="1:4">
      <c r="A5" s="121" t="s">
        <v>1338</v>
      </c>
      <c r="B5" s="121"/>
      <c r="C5" s="121"/>
    </row>
    <row r="6" ht="26" spans="1:4">
      <c r="A6" s="122" t="s">
        <v>1339</v>
      </c>
      <c r="B6" s="123" t="s">
        <v>1340</v>
      </c>
      <c r="C6" s="123" t="s">
        <v>1341</v>
      </c>
    </row>
    <row r="7" ht="39" spans="1:4">
      <c r="A7" s="122" t="s">
        <v>1342</v>
      </c>
      <c r="B7" s="124" t="s">
        <v>1343</v>
      </c>
      <c r="C7" s="123" t="s">
        <v>1341</v>
      </c>
    </row>
    <row r="8" ht="26" spans="1:4">
      <c r="A8" s="122" t="s">
        <v>1344</v>
      </c>
      <c r="B8" s="124" t="s">
        <v>1345</v>
      </c>
      <c r="C8" s="123" t="s">
        <v>1341</v>
      </c>
    </row>
    <row r="9" ht="104" spans="1:4">
      <c r="A9" s="122" t="s">
        <v>1346</v>
      </c>
      <c r="B9" s="124" t="s">
        <v>1347</v>
      </c>
      <c r="C9" s="124"/>
    </row>
    <row r="10" ht="78" spans="1:4">
      <c r="A10" s="122" t="s">
        <v>1348</v>
      </c>
      <c r="B10" s="124" t="s">
        <v>1349</v>
      </c>
      <c r="C10" s="124"/>
    </row>
    <row r="11" ht="78" spans="1:4">
      <c r="A11" s="122" t="s">
        <v>1350</v>
      </c>
      <c r="B11" s="124" t="s">
        <v>1351</v>
      </c>
      <c r="C11" s="124"/>
    </row>
    <row r="12" spans="1:4">
      <c r="A12" s="121" t="s">
        <v>1352</v>
      </c>
      <c r="B12" s="125"/>
      <c r="C12" s="125"/>
    </row>
    <row r="13" spans="1:4">
      <c r="A13" s="121" t="s">
        <v>1353</v>
      </c>
      <c r="B13" s="121"/>
      <c r="C13" s="121"/>
    </row>
    <row r="14" ht="30.75" customHeight="1" spans="1:4">
      <c r="A14" s="122" t="s">
        <v>1354</v>
      </c>
      <c r="B14" s="123" t="s">
        <v>1355</v>
      </c>
      <c r="C14" s="123"/>
    </row>
    <row r="15" ht="26" spans="1:4">
      <c r="A15" s="122" t="s">
        <v>1356</v>
      </c>
      <c r="B15" s="123" t="s">
        <v>1357</v>
      </c>
      <c r="C15" s="123"/>
    </row>
    <row r="16" spans="1:4">
      <c r="A16" s="121" t="s">
        <v>1358</v>
      </c>
      <c r="B16" s="125"/>
      <c r="C16" s="125"/>
    </row>
    <row r="17" spans="1:3">
      <c r="A17" s="121" t="s">
        <v>1359</v>
      </c>
      <c r="B17" s="121"/>
      <c r="C17" s="121"/>
    </row>
    <row r="18" ht="78" spans="1:3">
      <c r="A18" s="122" t="s">
        <v>1360</v>
      </c>
      <c r="B18" s="123" t="s">
        <v>1361</v>
      </c>
      <c r="C18" s="123"/>
    </row>
    <row r="19" ht="26" spans="1:3">
      <c r="A19" s="122" t="s">
        <v>1362</v>
      </c>
      <c r="B19" s="123" t="s">
        <v>1363</v>
      </c>
      <c r="C19" s="123"/>
    </row>
    <row r="20" ht="78" spans="1:3">
      <c r="A20" s="122" t="s">
        <v>1364</v>
      </c>
      <c r="B20" s="124" t="s">
        <v>1365</v>
      </c>
      <c r="C20" s="124" t="s">
        <v>1366</v>
      </c>
    </row>
    <row r="21" ht="26" spans="1:3">
      <c r="A21" s="122" t="s">
        <v>1367</v>
      </c>
      <c r="B21" s="124" t="s">
        <v>1368</v>
      </c>
      <c r="C21" s="124" t="s">
        <v>1369</v>
      </c>
    </row>
    <row r="22" ht="26" spans="1:3">
      <c r="A22" s="122" t="s">
        <v>1370</v>
      </c>
      <c r="B22" s="124" t="s">
        <v>1371</v>
      </c>
      <c r="C22" s="124"/>
    </row>
    <row r="23" ht="26" spans="1:3">
      <c r="A23" s="122" t="s">
        <v>1372</v>
      </c>
      <c r="B23" s="124" t="s">
        <v>1373</v>
      </c>
      <c r="C23" s="124"/>
    </row>
    <row r="24" ht="39" spans="1:3">
      <c r="A24" s="122" t="s">
        <v>1374</v>
      </c>
      <c r="B24" s="124" t="s">
        <v>1375</v>
      </c>
      <c r="C24" s="124" t="s">
        <v>1376</v>
      </c>
    </row>
    <row r="25" ht="26" spans="1:3">
      <c r="A25" s="122" t="s">
        <v>1377</v>
      </c>
      <c r="B25" s="124" t="s">
        <v>1378</v>
      </c>
      <c r="C25" s="124"/>
    </row>
    <row r="26" ht="26" spans="1:3">
      <c r="A26" s="122" t="s">
        <v>1379</v>
      </c>
      <c r="B26" s="124" t="s">
        <v>1380</v>
      </c>
      <c r="C26" s="124"/>
    </row>
    <row r="27" ht="26" spans="1:3">
      <c r="A27" s="122" t="s">
        <v>873</v>
      </c>
      <c r="B27" s="124"/>
      <c r="C27" s="126"/>
    </row>
    <row r="28" spans="1:3">
      <c r="A28" s="121" t="s">
        <v>1381</v>
      </c>
      <c r="B28" s="121"/>
      <c r="C28" s="121"/>
    </row>
    <row r="29" spans="1:3">
      <c r="A29" s="121" t="s">
        <v>1382</v>
      </c>
      <c r="B29" s="121"/>
      <c r="C29" s="121"/>
    </row>
    <row r="30" ht="26" spans="1:3">
      <c r="A30" s="122" t="s">
        <v>1383</v>
      </c>
      <c r="B30" s="123" t="s">
        <v>1384</v>
      </c>
      <c r="C30" s="127"/>
    </row>
    <row r="31" ht="26" spans="1:3">
      <c r="A31" s="122" t="s">
        <v>1385</v>
      </c>
      <c r="B31" s="123" t="s">
        <v>1386</v>
      </c>
      <c r="C31" s="127"/>
    </row>
    <row r="32" ht="26" spans="1:3">
      <c r="A32" s="122" t="s">
        <v>1387</v>
      </c>
      <c r="B32" s="124" t="s">
        <v>1388</v>
      </c>
      <c r="C32" s="128"/>
    </row>
    <row r="33" ht="26" spans="1:3">
      <c r="A33" s="122" t="s">
        <v>1389</v>
      </c>
      <c r="B33" s="124" t="s">
        <v>1390</v>
      </c>
      <c r="C33" s="128"/>
    </row>
    <row r="34" ht="26" spans="1:3">
      <c r="A34" s="122" t="s">
        <v>873</v>
      </c>
      <c r="B34" s="124"/>
      <c r="C34" s="128"/>
    </row>
    <row r="35" s="115" customFormat="1" spans="1:3">
      <c r="A35" s="121" t="s">
        <v>1391</v>
      </c>
      <c r="B35" s="121"/>
      <c r="C35" s="121"/>
    </row>
    <row r="36" s="115" customFormat="1" spans="1:3">
      <c r="A36" s="121" t="s">
        <v>1392</v>
      </c>
      <c r="B36" s="121"/>
      <c r="C36" s="121"/>
    </row>
    <row r="37" ht="26" spans="1:3">
      <c r="A37" s="122" t="s">
        <v>1393</v>
      </c>
      <c r="B37" s="124" t="s">
        <v>1394</v>
      </c>
      <c r="C37" s="124"/>
    </row>
    <row r="38" ht="26" spans="1:3">
      <c r="A38" s="122" t="s">
        <v>1395</v>
      </c>
      <c r="B38" s="124" t="s">
        <v>1396</v>
      </c>
      <c r="C38" s="124"/>
    </row>
    <row r="39" ht="26" spans="1:3">
      <c r="A39" s="122" t="s">
        <v>1397</v>
      </c>
      <c r="B39" s="124" t="s">
        <v>1398</v>
      </c>
      <c r="C39" s="124"/>
    </row>
    <row r="40" ht="78" spans="1:3">
      <c r="A40" s="122" t="s">
        <v>443</v>
      </c>
      <c r="B40" s="124" t="s">
        <v>1399</v>
      </c>
      <c r="C40" s="124" t="s">
        <v>1400</v>
      </c>
    </row>
    <row r="41" ht="156" customHeight="1" spans="1:3">
      <c r="A41" s="122" t="s">
        <v>444</v>
      </c>
      <c r="B41" s="124" t="s">
        <v>1401</v>
      </c>
      <c r="C41" s="124"/>
    </row>
    <row r="42" ht="26" spans="1:3">
      <c r="A42" s="122" t="s">
        <v>1402</v>
      </c>
      <c r="B42" s="124" t="s">
        <v>1403</v>
      </c>
      <c r="C42" s="124"/>
    </row>
    <row r="43" ht="39" spans="1:3">
      <c r="A43" s="122" t="s">
        <v>1404</v>
      </c>
      <c r="B43" s="124" t="s">
        <v>1405</v>
      </c>
      <c r="C43" s="124" t="s">
        <v>1406</v>
      </c>
    </row>
    <row r="44" ht="26" spans="1:3">
      <c r="A44" s="122" t="s">
        <v>1407</v>
      </c>
      <c r="B44" s="124" t="s">
        <v>1408</v>
      </c>
      <c r="C44" s="129"/>
    </row>
    <row r="45" ht="26" spans="1:3">
      <c r="A45" s="130" t="s">
        <v>449</v>
      </c>
      <c r="B45" s="123" t="s">
        <v>1409</v>
      </c>
      <c r="C45" s="124"/>
    </row>
    <row r="46" ht="39" spans="1:3">
      <c r="A46" s="130" t="s">
        <v>1410</v>
      </c>
      <c r="B46" s="124" t="s">
        <v>1411</v>
      </c>
      <c r="C46" s="124"/>
    </row>
    <row r="47" ht="26" spans="1:3">
      <c r="A47" s="131" t="s">
        <v>453</v>
      </c>
      <c r="B47" s="124" t="s">
        <v>1412</v>
      </c>
      <c r="C47" s="124" t="s">
        <v>1413</v>
      </c>
    </row>
    <row r="48" ht="52" spans="1:3">
      <c r="A48" s="131" t="s">
        <v>1414</v>
      </c>
      <c r="B48" s="124" t="s">
        <v>1415</v>
      </c>
      <c r="C48" s="124"/>
    </row>
    <row r="49" ht="26" spans="1:3">
      <c r="A49" s="131" t="s">
        <v>1416</v>
      </c>
      <c r="B49" s="124" t="s">
        <v>1417</v>
      </c>
      <c r="C49" s="124"/>
    </row>
    <row r="50" ht="39" spans="1:3">
      <c r="A50" s="131" t="s">
        <v>867</v>
      </c>
      <c r="B50" s="124" t="s">
        <v>1418</v>
      </c>
      <c r="C50" s="124"/>
    </row>
    <row r="51" ht="39" spans="1:3">
      <c r="A51" s="131" t="s">
        <v>1419</v>
      </c>
      <c r="B51" s="124" t="s">
        <v>1420</v>
      </c>
      <c r="C51" s="124"/>
    </row>
    <row r="52" ht="39" spans="1:3">
      <c r="A52" s="131" t="s">
        <v>1421</v>
      </c>
      <c r="B52" s="124" t="s">
        <v>1422</v>
      </c>
      <c r="C52" s="124"/>
    </row>
    <row r="53" ht="65" spans="1:3">
      <c r="A53" s="131" t="s">
        <v>1423</v>
      </c>
      <c r="B53" s="124" t="s">
        <v>1424</v>
      </c>
      <c r="C53" s="124" t="s">
        <v>1425</v>
      </c>
    </row>
    <row r="54" ht="78" spans="1:3">
      <c r="A54" s="131" t="s">
        <v>977</v>
      </c>
      <c r="B54" s="124" t="s">
        <v>1426</v>
      </c>
      <c r="C54" s="124"/>
    </row>
    <row r="55" ht="39" spans="1:3">
      <c r="A55" s="131" t="s">
        <v>1427</v>
      </c>
      <c r="B55" s="124" t="s">
        <v>1428</v>
      </c>
      <c r="C55" s="124" t="s">
        <v>1429</v>
      </c>
    </row>
    <row r="56" ht="39" spans="1:3">
      <c r="A56" s="131" t="s">
        <v>1430</v>
      </c>
      <c r="B56" s="124" t="s">
        <v>1431</v>
      </c>
      <c r="C56" s="124" t="s">
        <v>1432</v>
      </c>
    </row>
    <row r="57" ht="29.25" customHeight="1" spans="1:3">
      <c r="A57" s="131" t="s">
        <v>1433</v>
      </c>
      <c r="B57" s="124" t="s">
        <v>1434</v>
      </c>
      <c r="C57" s="124"/>
    </row>
    <row r="58" spans="1:3">
      <c r="A58" s="118"/>
      <c r="B58" s="118"/>
      <c r="C58" s="118"/>
    </row>
  </sheetData>
  <mergeCells count="12">
    <mergeCell ref="A1:C1"/>
    <mergeCell ref="A2:C2"/>
    <mergeCell ref="A4:C4"/>
    <mergeCell ref="A5:C5"/>
    <mergeCell ref="A12:C12"/>
    <mergeCell ref="A13:C13"/>
    <mergeCell ref="A16:C16"/>
    <mergeCell ref="A17:C17"/>
    <mergeCell ref="A28:C28"/>
    <mergeCell ref="A29:C29"/>
    <mergeCell ref="A35:C35"/>
    <mergeCell ref="A36:C36"/>
  </mergeCells>
  <conditionalFormatting sqref="A47:A49">
    <cfRule type="cellIs" dxfId="6" priority="1" stopIfTrue="1" operator="equal">
      <formula>"tbd"</formula>
    </cfRule>
  </conditionalFormatting>
  <pageMargins left="0.699305555555556" right="0.699305555555556" top="0.75" bottom="0.75" header="0.3" footer="0.3"/>
  <pageSetup paperSize="9" scale="31" orientation="portrait" horizontalDpi="300" verticalDpi="300"/>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pane ySplit="2" topLeftCell="A3" activePane="bottomLeft" state="frozen"/>
      <selection/>
      <selection pane="bottomLeft" activeCell="D8" sqref="D8"/>
    </sheetView>
  </sheetViews>
  <sheetFormatPr defaultColWidth="9.09090909090909" defaultRowHeight="13" outlineLevelCol="3"/>
  <cols>
    <col min="1" max="1" width="27.4545454545455" style="97" customWidth="1"/>
    <col min="2" max="2" width="32" style="97" customWidth="1"/>
    <col min="3" max="3" width="34.4545454545455" style="97" customWidth="1"/>
    <col min="4" max="4" width="11.4545454545455" style="97" customWidth="1"/>
    <col min="5" max="16384" width="9.09090909090909" style="97"/>
  </cols>
  <sheetData>
    <row r="1" spans="1:4">
      <c r="A1" s="98"/>
      <c r="B1" s="98"/>
      <c r="C1" s="98"/>
      <c r="D1" s="98"/>
    </row>
    <row r="2" spans="1:4">
      <c r="A2" s="101" t="s">
        <v>1435</v>
      </c>
      <c r="B2" s="101" t="s">
        <v>1436</v>
      </c>
      <c r="C2" s="101" t="s">
        <v>1437</v>
      </c>
      <c r="D2" s="102" t="s">
        <v>903</v>
      </c>
    </row>
    <row r="3" spans="1:4">
      <c r="A3" s="103" t="s">
        <v>1438</v>
      </c>
      <c r="B3" s="103">
        <v>0</v>
      </c>
      <c r="C3" s="97" t="s">
        <v>1439</v>
      </c>
      <c r="D3" s="105"/>
    </row>
    <row r="4" spans="1:4">
      <c r="A4" s="103" t="s">
        <v>1440</v>
      </c>
      <c r="B4" s="103">
        <v>1</v>
      </c>
      <c r="C4" s="103" t="s">
        <v>1441</v>
      </c>
      <c r="D4" s="105"/>
    </row>
    <row r="5" spans="1:4">
      <c r="A5" s="103" t="s">
        <v>1442</v>
      </c>
      <c r="B5" s="103">
        <v>2</v>
      </c>
      <c r="C5" s="103" t="s">
        <v>1443</v>
      </c>
      <c r="D5" s="106"/>
    </row>
    <row r="6" spans="1:4">
      <c r="A6" s="103"/>
      <c r="B6" s="103"/>
      <c r="C6" s="104"/>
      <c r="D6" s="106"/>
    </row>
    <row r="7" spans="1:4">
      <c r="A7" s="104"/>
      <c r="B7" s="104"/>
      <c r="C7" s="104"/>
      <c r="D7" s="106"/>
    </row>
    <row r="8" spans="1:4">
      <c r="A8" s="111" t="s">
        <v>237</v>
      </c>
      <c r="B8" s="112"/>
      <c r="C8" s="112"/>
      <c r="D8" s="106"/>
    </row>
    <row r="9" spans="1:4">
      <c r="A9" s="113"/>
      <c r="B9" s="113"/>
      <c r="C9" s="113"/>
    </row>
  </sheetData>
  <pageMargins left="0.699305555555556" right="0.699305555555556" top="0.75" bottom="0.75" header="0.3" footer="0.3"/>
  <pageSetup paperSize="9" orientation="portrait"/>
  <headerFooter alignWithMargins="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C70"/>
  <sheetViews>
    <sheetView topLeftCell="A2" workbookViewId="0">
      <selection activeCell="C69" sqref="C69"/>
    </sheetView>
  </sheetViews>
  <sheetFormatPr defaultColWidth="8.90909090909091" defaultRowHeight="12.5" outlineLevelCol="2"/>
  <cols>
    <col min="1" max="1" width="9.45454545454546" style="107" customWidth="1"/>
    <col min="2" max="2" width="16.0909090909091" style="107" customWidth="1"/>
    <col min="3" max="3" width="42.0909090909091" style="107" customWidth="1"/>
    <col min="4" max="5" width="8.90909090909091" style="107"/>
    <col min="6" max="6" width="14.0909090909091" style="107" customWidth="1"/>
    <col min="7" max="7" width="18.4545454545455" style="107" customWidth="1"/>
    <col min="8" max="16384" width="8.90909090909091" style="107"/>
  </cols>
  <sheetData>
    <row r="1" ht="13" spans="1:3">
      <c r="A1" s="108" t="s">
        <v>897</v>
      </c>
      <c r="B1" s="108" t="s">
        <v>235</v>
      </c>
      <c r="C1" s="108" t="s">
        <v>1444</v>
      </c>
    </row>
    <row r="2" ht="13" spans="1:3">
      <c r="A2" s="109" t="s">
        <v>906</v>
      </c>
      <c r="B2" s="109" t="s">
        <v>1445</v>
      </c>
      <c r="C2" s="109" t="str">
        <f t="shared" ref="C2:C41" si="0">CONCATENATE(A2," (",B2,")")</f>
        <v>- (No Unit)</v>
      </c>
    </row>
    <row r="3" ht="13" spans="1:3">
      <c r="A3" s="109" t="s">
        <v>1446</v>
      </c>
      <c r="B3" s="109" t="s">
        <v>1447</v>
      </c>
      <c r="C3" s="109" t="str">
        <f t="shared" si="0"/>
        <v>m (Meter)</v>
      </c>
    </row>
    <row r="4" ht="13" spans="1:3">
      <c r="A4" s="109" t="s">
        <v>786</v>
      </c>
      <c r="B4" s="109" t="s">
        <v>1448</v>
      </c>
      <c r="C4" s="109" t="str">
        <f t="shared" si="0"/>
        <v>mm (millimeter)</v>
      </c>
    </row>
    <row r="5" ht="13" spans="1:3">
      <c r="A5" s="109" t="s">
        <v>1449</v>
      </c>
      <c r="B5" s="109" t="s">
        <v>1450</v>
      </c>
      <c r="C5" s="109" t="str">
        <f t="shared" si="0"/>
        <v>km (kilometer)</v>
      </c>
    </row>
    <row r="6" ht="13" spans="1:3">
      <c r="A6" s="109" t="s">
        <v>1451</v>
      </c>
      <c r="B6" s="109" t="s">
        <v>1452</v>
      </c>
      <c r="C6" s="109" t="str">
        <f t="shared" si="0"/>
        <v>ft (Foot)</v>
      </c>
    </row>
    <row r="7" ht="13" spans="1:3">
      <c r="A7" s="109" t="s">
        <v>1453</v>
      </c>
      <c r="B7" s="109" t="s">
        <v>1454</v>
      </c>
      <c r="C7" s="109" t="str">
        <f t="shared" si="0"/>
        <v>in (Inch)</v>
      </c>
    </row>
    <row r="8" ht="13" spans="1:3">
      <c r="A8" s="109" t="s">
        <v>1455</v>
      </c>
      <c r="B8" s="109" t="s">
        <v>1456</v>
      </c>
      <c r="C8" s="109" t="str">
        <f t="shared" si="0"/>
        <v>yd (Yard)</v>
      </c>
    </row>
    <row r="9" ht="13" spans="1:3">
      <c r="A9" s="109" t="s">
        <v>1457</v>
      </c>
      <c r="B9" s="109" t="s">
        <v>1458</v>
      </c>
      <c r="C9" s="109" t="str">
        <f t="shared" si="0"/>
        <v>mi (mile)</v>
      </c>
    </row>
    <row r="10" ht="13" spans="1:3">
      <c r="A10" s="109" t="s">
        <v>1459</v>
      </c>
      <c r="B10" s="109" t="s">
        <v>1460</v>
      </c>
      <c r="C10" s="109" t="str">
        <f t="shared" si="0"/>
        <v>g (Gram)</v>
      </c>
    </row>
    <row r="11" ht="13" spans="1:3">
      <c r="A11" s="109" t="s">
        <v>1461</v>
      </c>
      <c r="B11" s="109" t="s">
        <v>1462</v>
      </c>
      <c r="C11" s="109" t="str">
        <f t="shared" si="0"/>
        <v>t (ton)</v>
      </c>
    </row>
    <row r="12" ht="13" spans="1:3">
      <c r="A12" s="109" t="s">
        <v>1463</v>
      </c>
      <c r="B12" s="109" t="s">
        <v>1464</v>
      </c>
      <c r="C12" s="109" t="str">
        <f t="shared" si="0"/>
        <v>s (Second)</v>
      </c>
    </row>
    <row r="13" ht="13" spans="1:3">
      <c r="A13" s="109" t="s">
        <v>197</v>
      </c>
      <c r="B13" s="109" t="s">
        <v>1465</v>
      </c>
      <c r="C13" s="109" t="str">
        <f t="shared" si="0"/>
        <v>ms (milli second)</v>
      </c>
    </row>
    <row r="14" ht="13" spans="1:3">
      <c r="A14" s="109" t="s">
        <v>1466</v>
      </c>
      <c r="B14" s="109" t="s">
        <v>1467</v>
      </c>
      <c r="C14" s="109" t="str">
        <f t="shared" si="0"/>
        <v>min (Minute)</v>
      </c>
    </row>
    <row r="15" ht="13" spans="1:3">
      <c r="A15" s="109" t="s">
        <v>1468</v>
      </c>
      <c r="B15" s="109" t="s">
        <v>1469</v>
      </c>
      <c r="C15" s="109" t="str">
        <f t="shared" si="0"/>
        <v>h (Hour)</v>
      </c>
    </row>
    <row r="16" ht="13" spans="1:3">
      <c r="A16" s="109" t="s">
        <v>1470</v>
      </c>
      <c r="B16" s="109" t="s">
        <v>928</v>
      </c>
      <c r="C16" s="109" t="str">
        <f t="shared" si="0"/>
        <v>d (Day)</v>
      </c>
    </row>
    <row r="17" ht="13" spans="1:3">
      <c r="A17" s="109" t="s">
        <v>1446</v>
      </c>
      <c r="B17" s="109" t="s">
        <v>1471</v>
      </c>
      <c r="C17" s="109" t="str">
        <f t="shared" si="0"/>
        <v>m (month)</v>
      </c>
    </row>
    <row r="18" ht="13" spans="1:3">
      <c r="A18" s="109" t="s">
        <v>1472</v>
      </c>
      <c r="B18" s="109" t="s">
        <v>1473</v>
      </c>
      <c r="C18" s="109" t="str">
        <f t="shared" si="0"/>
        <v>y (year)</v>
      </c>
    </row>
    <row r="19" ht="13" spans="1:3">
      <c r="A19" s="109" t="s">
        <v>1474</v>
      </c>
      <c r="B19" s="109" t="s">
        <v>1475</v>
      </c>
      <c r="C19" s="109" t="str">
        <f t="shared" si="0"/>
        <v>A (ampere)</v>
      </c>
    </row>
    <row r="20" ht="13" spans="1:3">
      <c r="A20" s="109" t="s">
        <v>1476</v>
      </c>
      <c r="B20" s="109" t="s">
        <v>1477</v>
      </c>
      <c r="C20" s="109" t="str">
        <f t="shared" si="0"/>
        <v>mA (milliampere)</v>
      </c>
    </row>
    <row r="21" ht="13" spans="1:3">
      <c r="A21" s="109" t="s">
        <v>1478</v>
      </c>
      <c r="B21" s="109" t="s">
        <v>1479</v>
      </c>
      <c r="C21" s="109" t="str">
        <f t="shared" si="0"/>
        <v>V (volt)</v>
      </c>
    </row>
    <row r="22" ht="13" spans="1:3">
      <c r="A22" s="109" t="s">
        <v>1480</v>
      </c>
      <c r="B22" s="109" t="s">
        <v>1481</v>
      </c>
      <c r="C22" s="109" t="str">
        <f t="shared" si="0"/>
        <v>mV (millivolt)</v>
      </c>
    </row>
    <row r="23" ht="13" spans="1:3">
      <c r="A23" s="109" t="s">
        <v>1482</v>
      </c>
      <c r="B23" s="109" t="s">
        <v>1483</v>
      </c>
      <c r="C23" s="109" t="str">
        <f t="shared" si="0"/>
        <v>C (coulomb)</v>
      </c>
    </row>
    <row r="24" ht="13" spans="1:3">
      <c r="A24" s="109" t="s">
        <v>1484</v>
      </c>
      <c r="B24" s="109" t="s">
        <v>1485</v>
      </c>
      <c r="C24" s="109" t="str">
        <f t="shared" si="0"/>
        <v>Ah (ampere-hour)</v>
      </c>
    </row>
    <row r="25" ht="13" spans="1:3">
      <c r="A25" s="109" t="s">
        <v>752</v>
      </c>
      <c r="B25" s="109" t="s">
        <v>1486</v>
      </c>
      <c r="C25" s="109" t="str">
        <f t="shared" si="0"/>
        <v>W (watt)</v>
      </c>
    </row>
    <row r="26" ht="13" spans="1:3">
      <c r="A26" s="109" t="s">
        <v>1487</v>
      </c>
      <c r="B26" s="109" t="s">
        <v>1488</v>
      </c>
      <c r="C26" s="109" t="str">
        <f t="shared" ref="C26" si="1">CONCATENATE(A26," (",B26,")")</f>
        <v>kW (kilowatt)</v>
      </c>
    </row>
    <row r="27" ht="13" spans="1:3">
      <c r="A27" s="109" t="s">
        <v>752</v>
      </c>
      <c r="B27" s="109" t="s">
        <v>1489</v>
      </c>
      <c r="C27" s="109" t="str">
        <f t="shared" si="0"/>
        <v>W (ohm)</v>
      </c>
    </row>
    <row r="28" ht="13" spans="1:3">
      <c r="A28" s="109" t="s">
        <v>1487</v>
      </c>
      <c r="B28" s="109" t="s">
        <v>1490</v>
      </c>
      <c r="C28" s="109" t="str">
        <f t="shared" si="0"/>
        <v>kW (kiloohm)</v>
      </c>
    </row>
    <row r="29" ht="13" spans="1:3">
      <c r="A29" s="109" t="s">
        <v>1491</v>
      </c>
      <c r="B29" s="109" t="s">
        <v>1492</v>
      </c>
      <c r="C29" s="109" t="str">
        <f t="shared" si="0"/>
        <v>F (farad)</v>
      </c>
    </row>
    <row r="30" ht="13" spans="1:3">
      <c r="A30" s="109" t="s">
        <v>1493</v>
      </c>
      <c r="B30" s="109" t="s">
        <v>1494</v>
      </c>
      <c r="C30" s="109" t="str">
        <f t="shared" si="0"/>
        <v>H (henry)</v>
      </c>
    </row>
    <row r="31" ht="13" spans="1:3">
      <c r="A31" s="109" t="s">
        <v>1495</v>
      </c>
      <c r="B31" s="109" t="s">
        <v>1496</v>
      </c>
      <c r="C31" s="109" t="str">
        <f t="shared" si="0"/>
        <v>S (siemens)</v>
      </c>
    </row>
    <row r="32" ht="13" spans="1:3">
      <c r="A32" s="109" t="s">
        <v>1497</v>
      </c>
      <c r="B32" s="109" t="s">
        <v>1498</v>
      </c>
      <c r="C32" s="109" t="str">
        <f t="shared" si="0"/>
        <v>Wb (weber)</v>
      </c>
    </row>
    <row r="33" ht="13" spans="1:3">
      <c r="A33" s="109" t="s">
        <v>1499</v>
      </c>
      <c r="B33" s="109" t="s">
        <v>1500</v>
      </c>
      <c r="C33" s="109" t="str">
        <f t="shared" si="0"/>
        <v>T (tesla)</v>
      </c>
    </row>
    <row r="34" ht="13" spans="1:3">
      <c r="A34" s="109" t="s">
        <v>1501</v>
      </c>
      <c r="B34" s="109" t="s">
        <v>1502</v>
      </c>
      <c r="C34" s="109" t="str">
        <f t="shared" si="0"/>
        <v>K (kelvin)</v>
      </c>
    </row>
    <row r="35" ht="13" spans="1:3">
      <c r="A35" s="109" t="s">
        <v>771</v>
      </c>
      <c r="B35" s="109" t="s">
        <v>1503</v>
      </c>
      <c r="C35" s="109" t="str">
        <f t="shared" si="0"/>
        <v>°C (Celsius)</v>
      </c>
    </row>
    <row r="36" ht="13" spans="1:3">
      <c r="A36" s="109" t="s">
        <v>1504</v>
      </c>
      <c r="B36" s="109" t="s">
        <v>1505</v>
      </c>
      <c r="C36" s="109" t="str">
        <f t="shared" si="0"/>
        <v>°F (Fahrenheit)</v>
      </c>
    </row>
    <row r="37" ht="13" spans="1:3">
      <c r="A37" s="109" t="s">
        <v>1506</v>
      </c>
      <c r="B37" s="109" t="s">
        <v>1507</v>
      </c>
      <c r="C37" s="109" t="str">
        <f t="shared" si="0"/>
        <v>cd (candela)</v>
      </c>
    </row>
    <row r="38" ht="13" spans="1:3">
      <c r="A38" s="109" t="s">
        <v>1508</v>
      </c>
      <c r="B38" s="109" t="s">
        <v>1509</v>
      </c>
      <c r="C38" s="109" t="str">
        <f t="shared" si="0"/>
        <v>rad (radian)</v>
      </c>
    </row>
    <row r="39" ht="13" spans="1:3">
      <c r="A39" s="109" t="s">
        <v>1510</v>
      </c>
      <c r="B39" s="109" t="s">
        <v>1511</v>
      </c>
      <c r="C39" s="109" t="str">
        <f t="shared" si="0"/>
        <v>° (degree)</v>
      </c>
    </row>
    <row r="40" ht="13" spans="1:3">
      <c r="A40" s="109" t="s">
        <v>1512</v>
      </c>
      <c r="B40" s="109" t="s">
        <v>1513</v>
      </c>
      <c r="C40" s="109" t="str">
        <f t="shared" si="0"/>
        <v>Hz (hertz)</v>
      </c>
    </row>
    <row r="41" ht="13" spans="1:3">
      <c r="A41" s="109" t="s">
        <v>1514</v>
      </c>
      <c r="B41" s="109" t="s">
        <v>1515</v>
      </c>
      <c r="C41" s="109" t="str">
        <f t="shared" si="0"/>
        <v>J (joule)</v>
      </c>
    </row>
    <row r="42" ht="13" spans="1:3">
      <c r="A42" s="109" t="s">
        <v>272</v>
      </c>
      <c r="B42" s="109" t="s">
        <v>1516</v>
      </c>
      <c r="C42" s="109" t="str">
        <f t="shared" ref="C42:C69" si="2">CONCATENATE(A42," (",B42,")")</f>
        <v>N (Newton)</v>
      </c>
    </row>
    <row r="43" ht="13" spans="1:3">
      <c r="A43" s="109" t="s">
        <v>1517</v>
      </c>
      <c r="B43" s="109" t="s">
        <v>1518</v>
      </c>
      <c r="C43" s="109" t="str">
        <f t="shared" si="2"/>
        <v>kp (kilopond)</v>
      </c>
    </row>
    <row r="44" ht="13" spans="1:3">
      <c r="A44" s="109" t="s">
        <v>1519</v>
      </c>
      <c r="B44" s="109" t="s">
        <v>1520</v>
      </c>
      <c r="C44" s="109" t="str">
        <f t="shared" si="2"/>
        <v>lbf (pound force)</v>
      </c>
    </row>
    <row r="45" ht="13" spans="1:3">
      <c r="A45" s="109" t="s">
        <v>1521</v>
      </c>
      <c r="B45" s="109" t="s">
        <v>1522</v>
      </c>
      <c r="C45" s="109" t="str">
        <f t="shared" si="2"/>
        <v>hk (horse power (metric))</v>
      </c>
    </row>
    <row r="46" ht="13" spans="1:3">
      <c r="A46" s="109" t="s">
        <v>1523</v>
      </c>
      <c r="B46" s="109" t="s">
        <v>1524</v>
      </c>
      <c r="C46" s="109" t="str">
        <f t="shared" si="2"/>
        <v>hp (horse power (UK and US))</v>
      </c>
    </row>
    <row r="47" ht="13" spans="1:3">
      <c r="A47" s="109" t="s">
        <v>1525</v>
      </c>
      <c r="B47" s="109" t="s">
        <v>1526</v>
      </c>
      <c r="C47" s="109" t="str">
        <f t="shared" si="2"/>
        <v>Pa (Pascal)</v>
      </c>
    </row>
    <row r="48" ht="13" spans="1:3">
      <c r="A48" s="109" t="s">
        <v>1527</v>
      </c>
      <c r="B48" s="109" t="s">
        <v>1527</v>
      </c>
      <c r="C48" s="109" t="str">
        <f t="shared" si="2"/>
        <v>bar (bar)</v>
      </c>
    </row>
    <row r="49" ht="13" spans="1:3">
      <c r="A49" s="109" t="s">
        <v>1528</v>
      </c>
      <c r="B49" s="109" t="s">
        <v>1529</v>
      </c>
      <c r="C49" s="109" t="str">
        <f t="shared" si="2"/>
        <v>atm (atmosphere)</v>
      </c>
    </row>
    <row r="50" ht="13" spans="1:3">
      <c r="A50" s="109" t="s">
        <v>1530</v>
      </c>
      <c r="B50" s="109" t="s">
        <v>1531</v>
      </c>
      <c r="C50" s="109" t="str">
        <f t="shared" si="2"/>
        <v>psi (pound force per square inch)</v>
      </c>
    </row>
    <row r="51" ht="13" spans="1:3">
      <c r="A51" s="109" t="s">
        <v>1532</v>
      </c>
      <c r="B51" s="109" t="s">
        <v>1533</v>
      </c>
      <c r="C51" s="109" t="str">
        <f t="shared" si="2"/>
        <v>Bq (becqerel)</v>
      </c>
    </row>
    <row r="52" ht="13" spans="1:3">
      <c r="A52" s="109" t="s">
        <v>1534</v>
      </c>
      <c r="B52" s="109" t="s">
        <v>1535</v>
      </c>
      <c r="C52" s="109" t="str">
        <f t="shared" si="2"/>
        <v>lm (lumen)</v>
      </c>
    </row>
    <row r="53" ht="13" spans="1:3">
      <c r="A53" s="109" t="s">
        <v>1536</v>
      </c>
      <c r="B53" s="109" t="s">
        <v>1537</v>
      </c>
      <c r="C53" s="109" t="str">
        <f t="shared" si="2"/>
        <v>lx (lux)</v>
      </c>
    </row>
    <row r="54" ht="13" spans="1:3">
      <c r="A54" s="109" t="s">
        <v>1538</v>
      </c>
      <c r="B54" s="109" t="s">
        <v>1539</v>
      </c>
      <c r="C54" s="109" t="str">
        <f t="shared" si="2"/>
        <v>l (liter)</v>
      </c>
    </row>
    <row r="55" ht="13" spans="1:3">
      <c r="A55" s="109" t="s">
        <v>1540</v>
      </c>
      <c r="B55" s="109" t="s">
        <v>1541</v>
      </c>
      <c r="C55" s="109" t="str">
        <f t="shared" si="2"/>
        <v>m/s (meter per second)</v>
      </c>
    </row>
    <row r="56" ht="13" spans="1:3">
      <c r="A56" s="109" t="s">
        <v>1542</v>
      </c>
      <c r="B56" s="109" t="s">
        <v>1543</v>
      </c>
      <c r="C56" s="109" t="str">
        <f t="shared" si="2"/>
        <v>km/h (kilometer per hour)</v>
      </c>
    </row>
    <row r="57" ht="13" spans="1:3">
      <c r="A57" s="109" t="s">
        <v>1544</v>
      </c>
      <c r="B57" s="109" t="s">
        <v>1545</v>
      </c>
      <c r="C57" s="109" t="str">
        <f t="shared" si="2"/>
        <v>mph (mile per hour)</v>
      </c>
    </row>
    <row r="58" ht="13" spans="1:3">
      <c r="A58" s="109" t="s">
        <v>1546</v>
      </c>
      <c r="B58" s="109" t="s">
        <v>1547</v>
      </c>
      <c r="C58" s="109" t="str">
        <f t="shared" si="2"/>
        <v>rps (revolutions per second)</v>
      </c>
    </row>
    <row r="59" ht="13" spans="1:3">
      <c r="A59" s="109" t="s">
        <v>1548</v>
      </c>
      <c r="B59" s="109" t="s">
        <v>1549</v>
      </c>
      <c r="C59" s="109" t="str">
        <f t="shared" si="2"/>
        <v>rpm (revolutions per minute)</v>
      </c>
    </row>
    <row r="60" ht="13" spans="1:3">
      <c r="A60" s="109" t="s">
        <v>1550</v>
      </c>
      <c r="B60" s="109" t="s">
        <v>1551</v>
      </c>
      <c r="C60" s="109" t="str">
        <f t="shared" si="2"/>
        <v>% (percent)</v>
      </c>
    </row>
    <row r="61" ht="13" spans="1:3">
      <c r="A61" s="109" t="s">
        <v>1552</v>
      </c>
      <c r="B61" s="109" t="s">
        <v>1553</v>
      </c>
      <c r="C61" s="109" t="str">
        <f t="shared" si="2"/>
        <v>mg/stroke (milligram per stroke)</v>
      </c>
    </row>
    <row r="62" ht="13" spans="1:3">
      <c r="A62" s="109" t="s">
        <v>1554</v>
      </c>
      <c r="B62" s="109" t="s">
        <v>1555</v>
      </c>
      <c r="C62" s="109" t="str">
        <f t="shared" si="2"/>
        <v>m/s2 (meter per square second)</v>
      </c>
    </row>
    <row r="63" ht="13" spans="1:3">
      <c r="A63" s="109" t="s">
        <v>1556</v>
      </c>
      <c r="B63" s="109" t="s">
        <v>1557</v>
      </c>
      <c r="C63" s="109" t="str">
        <f t="shared" si="2"/>
        <v>Nm (Newton meter)</v>
      </c>
    </row>
    <row r="64" ht="13" spans="1:3">
      <c r="A64" s="109" t="s">
        <v>1558</v>
      </c>
      <c r="B64" s="109" t="s">
        <v>1559</v>
      </c>
      <c r="C64" s="109" t="str">
        <f t="shared" si="2"/>
        <v>l/min (liter per minute)</v>
      </c>
    </row>
    <row r="65" ht="13" spans="1:3">
      <c r="A65" s="109" t="s">
        <v>1560</v>
      </c>
      <c r="B65" s="109" t="s">
        <v>1561</v>
      </c>
      <c r="C65" s="109" t="str">
        <f t="shared" si="2"/>
        <v>W/m2 (Watt per square meter W/m2 Intensity)</v>
      </c>
    </row>
    <row r="66" ht="13" spans="1:3">
      <c r="A66" s="109" t="s">
        <v>1562</v>
      </c>
      <c r="B66" s="109" t="s">
        <v>1563</v>
      </c>
      <c r="C66" s="109" t="str">
        <f t="shared" si="2"/>
        <v>bar/s (Bar per second)</v>
      </c>
    </row>
    <row r="67" ht="13" spans="1:3">
      <c r="A67" s="109" t="s">
        <v>1564</v>
      </c>
      <c r="B67" s="109" t="s">
        <v>1565</v>
      </c>
      <c r="C67" s="109" t="str">
        <f t="shared" si="2"/>
        <v>rad/s (Radians per second)</v>
      </c>
    </row>
    <row r="68" ht="13" spans="1:3">
      <c r="A68" s="109" t="s">
        <v>1566</v>
      </c>
      <c r="B68" s="109" t="s">
        <v>1567</v>
      </c>
      <c r="C68" s="109" t="str">
        <f t="shared" si="2"/>
        <v>rad/s2 (Radians per square second)</v>
      </c>
    </row>
    <row r="69" ht="13" spans="1:3">
      <c r="A69" s="109" t="s">
        <v>1568</v>
      </c>
      <c r="B69" s="109" t="s">
        <v>1569</v>
      </c>
      <c r="C69" s="109" t="str">
        <f t="shared" si="2"/>
        <v>kg/m2 (Kilogram per square meter)</v>
      </c>
    </row>
    <row r="70" ht="13" spans="1:3">
      <c r="A70" s="109" t="s">
        <v>237</v>
      </c>
      <c r="B70" s="110"/>
      <c r="C70" s="110"/>
    </row>
  </sheetData>
  <pageMargins left="0.699305555555556" right="0.699305555555556" top="0.75" bottom="0.75" header="0.3" footer="0.3"/>
  <pageSetup paperSize="9" orientation="portrait"/>
  <headerFooter alignWithMargins="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L6"/>
  <sheetViews>
    <sheetView zoomScale="90" zoomScaleNormal="90" workbookViewId="0">
      <pane ySplit="2" topLeftCell="A3" activePane="bottomLeft" state="frozen"/>
      <selection/>
      <selection pane="bottomLeft" activeCell="H11" sqref="H11"/>
    </sheetView>
  </sheetViews>
  <sheetFormatPr defaultColWidth="9.09090909090909" defaultRowHeight="13" outlineLevelRow="5"/>
  <cols>
    <col min="1" max="1" width="21.4545454545455" style="97" customWidth="1"/>
    <col min="2" max="3" width="24.0909090909091" style="97" customWidth="1"/>
    <col min="4" max="4" width="14.4545454545455" style="97" customWidth="1"/>
    <col min="5" max="5" width="20" style="97" customWidth="1"/>
    <col min="6" max="6" width="13.4545454545455" style="97" customWidth="1"/>
    <col min="7" max="7" width="12.4545454545455" style="97" customWidth="1"/>
    <col min="8" max="9" width="17.4545454545455" style="97" customWidth="1"/>
    <col min="10" max="10" width="20.4545454545455" style="97" customWidth="1"/>
    <col min="11" max="11" width="11.4545454545455" style="97" customWidth="1"/>
    <col min="12" max="16384" width="9.09090909090909" style="97"/>
  </cols>
  <sheetData>
    <row r="1" s="96" customFormat="1" spans="1:12">
      <c r="A1" s="98"/>
      <c r="B1" s="98"/>
      <c r="C1" s="98"/>
      <c r="D1" s="99"/>
      <c r="E1" s="99"/>
      <c r="F1" s="99"/>
      <c r="G1" s="99"/>
      <c r="H1" s="98"/>
      <c r="I1" s="98"/>
      <c r="J1" s="98"/>
      <c r="K1" s="98"/>
      <c r="L1" s="100"/>
    </row>
    <row r="2" spans="1:12">
      <c r="A2" s="101" t="s">
        <v>1437</v>
      </c>
      <c r="B2" s="101" t="s">
        <v>1570</v>
      </c>
      <c r="C2" s="101" t="s">
        <v>1571</v>
      </c>
      <c r="D2" s="101" t="s">
        <v>1572</v>
      </c>
      <c r="E2" s="101" t="s">
        <v>1573</v>
      </c>
      <c r="F2" s="101" t="s">
        <v>1574</v>
      </c>
      <c r="G2" s="101" t="s">
        <v>1575</v>
      </c>
      <c r="H2" s="101" t="s">
        <v>1576</v>
      </c>
      <c r="I2" s="101" t="s">
        <v>1577</v>
      </c>
      <c r="J2" s="101" t="s">
        <v>1578</v>
      </c>
      <c r="K2" s="102" t="s">
        <v>903</v>
      </c>
    </row>
    <row r="3" spans="1:12">
      <c r="A3" s="103" t="s">
        <v>1439</v>
      </c>
      <c r="B3" s="103" t="s">
        <v>1579</v>
      </c>
      <c r="C3" s="103" t="s">
        <v>1580</v>
      </c>
      <c r="D3" s="103" t="s">
        <v>1581</v>
      </c>
      <c r="E3" s="103">
        <v>0</v>
      </c>
      <c r="F3" s="104">
        <v>4</v>
      </c>
      <c r="G3" s="104">
        <v>1024</v>
      </c>
      <c r="H3" s="104" t="s">
        <v>1582</v>
      </c>
      <c r="I3" s="105" t="s">
        <v>1583</v>
      </c>
      <c r="J3" s="104" t="s">
        <v>909</v>
      </c>
      <c r="K3" s="105" t="s">
        <v>1584</v>
      </c>
    </row>
    <row r="4" spans="1:12">
      <c r="A4" s="104" t="s">
        <v>1441</v>
      </c>
      <c r="B4" s="104" t="s">
        <v>1441</v>
      </c>
      <c r="C4" s="104" t="s">
        <v>1580</v>
      </c>
      <c r="D4" s="104" t="s">
        <v>1585</v>
      </c>
      <c r="E4" s="104"/>
      <c r="F4" s="104"/>
      <c r="G4" s="104"/>
      <c r="H4" s="104"/>
      <c r="I4" s="104"/>
      <c r="J4" s="104"/>
      <c r="K4" s="104"/>
    </row>
    <row r="5" spans="1:12">
      <c r="A5" s="104" t="s">
        <v>1443</v>
      </c>
      <c r="B5" s="104" t="s">
        <v>1586</v>
      </c>
      <c r="C5" s="104" t="s">
        <v>1587</v>
      </c>
      <c r="D5" s="104" t="s">
        <v>1588</v>
      </c>
      <c r="E5" s="104"/>
      <c r="F5" s="104"/>
      <c r="G5" s="104"/>
      <c r="H5" s="104"/>
      <c r="I5" s="104"/>
      <c r="J5" s="104"/>
      <c r="K5" s="104"/>
    </row>
    <row r="6" spans="1:12">
      <c r="A6" s="106" t="s">
        <v>237</v>
      </c>
      <c r="B6" s="106"/>
      <c r="C6" s="106"/>
      <c r="D6" s="106"/>
      <c r="E6" s="106"/>
      <c r="F6" s="106"/>
      <c r="G6" s="106"/>
      <c r="H6" s="106"/>
      <c r="I6" s="106"/>
      <c r="J6" s="106"/>
      <c r="K6" s="106"/>
    </row>
  </sheetData>
  <dataValidations count="3">
    <dataValidation type="list" allowBlank="1" showInputMessage="1" showErrorMessage="1" sqref="B3:B5">
      <formula1>"DRIVER,APP,DATA"</formula1>
    </dataValidation>
    <dataValidation type="list" allowBlank="1" showInputMessage="1" showErrorMessage="1" sqref="C3:C5">
      <formula1>"ExternFlashData,InternFlashData"</formula1>
    </dataValidation>
    <dataValidation type="list" allowBlank="1" showInputMessage="1" showErrorMessage="1" sqref="D3:D5">
      <formula1>"S19,HEX,BIN"</formula1>
    </dataValidation>
  </dataValidations>
  <pageMargins left="0.699305555555556" right="0.699305555555556" top="0.75" bottom="0.75" header="0.3" footer="0.3"/>
  <pageSetup paperSize="9" orientation="portrait"/>
  <headerFooter alignWithMargins="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T306"/>
  <sheetViews>
    <sheetView showGridLines="0" view="pageBreakPreview" zoomScale="85" zoomScaleNormal="70" workbookViewId="0">
      <pane xSplit="5" ySplit="2" topLeftCell="F33" activePane="bottomRight" state="frozen"/>
      <selection/>
      <selection pane="topRight"/>
      <selection pane="bottomLeft"/>
      <selection pane="bottomRight" activeCell="H3" sqref="H3"/>
    </sheetView>
  </sheetViews>
  <sheetFormatPr defaultColWidth="8" defaultRowHeight="15.5"/>
  <cols>
    <col min="1" max="1" width="3.45454545454545" style="52" customWidth="1"/>
    <col min="2" max="2" width="17.0909090909091" style="53" customWidth="1"/>
    <col min="3" max="3" width="12.6363636363636" style="52" customWidth="1"/>
    <col min="4" max="4" width="27.6363636363636" style="52" customWidth="1"/>
    <col min="5" max="5" width="39.7272727272727" style="54" customWidth="1"/>
    <col min="6" max="6" width="8" style="55" customWidth="1"/>
    <col min="7" max="7" width="9.90909090909091" style="55" customWidth="1"/>
    <col min="8" max="8" width="36.0909090909091" style="52" customWidth="1"/>
    <col min="9" max="9" width="14.7272727272727" style="52" customWidth="1"/>
    <col min="10" max="10" width="37.0909090909091" style="52" customWidth="1"/>
    <col min="11" max="11" width="12.6363636363636" style="55" customWidth="1"/>
    <col min="12" max="12" width="11.7272727272727" style="55" customWidth="1"/>
    <col min="13" max="13" width="42.0909090909091" style="52" customWidth="1"/>
    <col min="14" max="14" width="13.9090909090909" style="52" customWidth="1"/>
    <col min="15" max="15" width="37.7272727272727" style="52" customWidth="1"/>
    <col min="16" max="16" width="16.0909090909091" style="52" customWidth="1"/>
    <col min="17" max="17" width="16.6363636363636" style="52" customWidth="1"/>
    <col min="18" max="18" width="34.0909090909091" style="52" customWidth="1"/>
    <col min="19" max="19" width="15.0909090909091" style="55" customWidth="1"/>
    <col min="20" max="20" width="23.3636363636364" style="52" customWidth="1"/>
    <col min="21" max="249" width="8" style="52" customWidth="1"/>
    <col min="250" max="16384" width="8" style="52"/>
  </cols>
  <sheetData>
    <row r="1" spans="1:20">
      <c r="B1" s="56"/>
      <c r="C1" s="57"/>
      <c r="D1" s="57"/>
      <c r="E1" s="58"/>
      <c r="F1" s="59"/>
      <c r="G1" s="59"/>
      <c r="H1" s="57"/>
      <c r="I1" s="57"/>
      <c r="J1" s="57"/>
      <c r="K1" s="59"/>
      <c r="L1" s="59"/>
      <c r="M1" s="57"/>
      <c r="N1" s="57"/>
      <c r="O1" s="57"/>
      <c r="P1" s="57"/>
      <c r="Q1" s="57"/>
      <c r="R1" s="57"/>
      <c r="S1" s="59"/>
      <c r="T1" s="57"/>
    </row>
    <row r="2" s="49" customFormat="1" ht="21" customHeight="1" spans="1:20">
      <c r="B2" s="60" t="s">
        <v>1589</v>
      </c>
      <c r="C2" s="61" t="s">
        <v>1590</v>
      </c>
      <c r="D2" s="62" t="s">
        <v>1591</v>
      </c>
      <c r="E2" s="63" t="s">
        <v>1592</v>
      </c>
      <c r="F2" s="64" t="s">
        <v>1436</v>
      </c>
      <c r="G2" s="65" t="s">
        <v>1593</v>
      </c>
      <c r="H2" s="62" t="s">
        <v>1594</v>
      </c>
      <c r="I2" s="62" t="s">
        <v>1595</v>
      </c>
      <c r="J2" s="62" t="s">
        <v>1596</v>
      </c>
      <c r="K2" s="65" t="s">
        <v>1597</v>
      </c>
      <c r="L2" s="65" t="s">
        <v>1598</v>
      </c>
      <c r="M2" s="62" t="s">
        <v>1599</v>
      </c>
      <c r="N2" s="62" t="s">
        <v>1600</v>
      </c>
      <c r="O2" s="62" t="s">
        <v>1601</v>
      </c>
      <c r="P2" s="62" t="s">
        <v>1602</v>
      </c>
      <c r="Q2" s="62" t="s">
        <v>1603</v>
      </c>
      <c r="R2" s="62" t="s">
        <v>1604</v>
      </c>
      <c r="S2" s="65" t="s">
        <v>1605</v>
      </c>
      <c r="T2" s="62" t="s">
        <v>1606</v>
      </c>
    </row>
    <row r="3" s="50" customFormat="1" ht="72.5" spans="1:20">
      <c r="A3" s="50">
        <v>1</v>
      </c>
      <c r="B3" s="66" t="s">
        <v>1607</v>
      </c>
      <c r="C3" s="66" t="s">
        <v>1608</v>
      </c>
      <c r="D3" s="66" t="str">
        <f>"0x"&amp;RIGHT(C3,2)</f>
        <v>0x17</v>
      </c>
      <c r="E3" s="67" t="s">
        <v>1609</v>
      </c>
      <c r="F3" s="68">
        <v>4</v>
      </c>
      <c r="G3" s="68" t="s">
        <v>1610</v>
      </c>
      <c r="H3" s="69"/>
      <c r="I3" s="68" t="s">
        <v>906</v>
      </c>
      <c r="J3" s="70" t="s">
        <v>1611</v>
      </c>
      <c r="K3" s="71" t="s">
        <v>1612</v>
      </c>
      <c r="L3" s="68" t="s">
        <v>1613</v>
      </c>
      <c r="M3" s="72" t="s">
        <v>1614</v>
      </c>
      <c r="N3" s="68" t="s">
        <v>906</v>
      </c>
      <c r="O3" s="73" t="s">
        <v>1615</v>
      </c>
      <c r="P3" s="69"/>
      <c r="Q3" s="68" t="s">
        <v>906</v>
      </c>
      <c r="R3" s="73" t="s">
        <v>1616</v>
      </c>
      <c r="S3" s="68">
        <v>40</v>
      </c>
      <c r="T3" s="68" t="s">
        <v>906</v>
      </c>
    </row>
    <row r="4" s="50" customFormat="1" ht="58" spans="1:20">
      <c r="A4" s="50">
        <v>2</v>
      </c>
      <c r="B4" s="66" t="s">
        <v>1617</v>
      </c>
      <c r="C4" s="66" t="s">
        <v>1618</v>
      </c>
      <c r="D4" s="66" t="str">
        <f t="shared" ref="D4:D44" si="0">"0x"&amp;RIGHT(C4,2)</f>
        <v>0x16</v>
      </c>
      <c r="E4" s="67" t="s">
        <v>1619</v>
      </c>
      <c r="F4" s="68">
        <v>4</v>
      </c>
      <c r="G4" s="68" t="s">
        <v>1610</v>
      </c>
      <c r="H4" s="69"/>
      <c r="I4" s="68" t="s">
        <v>906</v>
      </c>
      <c r="J4" s="70" t="s">
        <v>1620</v>
      </c>
      <c r="K4" s="71" t="s">
        <v>1612</v>
      </c>
      <c r="L4" s="68" t="s">
        <v>1613</v>
      </c>
      <c r="M4" s="72" t="s">
        <v>1621</v>
      </c>
      <c r="N4" s="68" t="s">
        <v>906</v>
      </c>
      <c r="O4" s="73" t="s">
        <v>1622</v>
      </c>
      <c r="P4" s="69"/>
      <c r="Q4" s="68" t="s">
        <v>906</v>
      </c>
      <c r="R4" s="73" t="s">
        <v>1616</v>
      </c>
      <c r="S4" s="68">
        <v>40</v>
      </c>
      <c r="T4" s="68" t="s">
        <v>906</v>
      </c>
    </row>
    <row r="5" s="50" customFormat="1" ht="72.5" spans="1:20">
      <c r="A5" s="50">
        <v>3</v>
      </c>
      <c r="B5" s="66" t="s">
        <v>1623</v>
      </c>
      <c r="C5" s="66" t="s">
        <v>1624</v>
      </c>
      <c r="D5" s="66" t="str">
        <f t="shared" si="0"/>
        <v>0x88</v>
      </c>
      <c r="E5" s="67" t="s">
        <v>1625</v>
      </c>
      <c r="F5" s="68">
        <v>4</v>
      </c>
      <c r="G5" s="68" t="s">
        <v>1610</v>
      </c>
      <c r="H5" s="69"/>
      <c r="I5" s="68" t="s">
        <v>906</v>
      </c>
      <c r="J5" s="70" t="s">
        <v>1626</v>
      </c>
      <c r="K5" s="71" t="s">
        <v>1612</v>
      </c>
      <c r="L5" s="68" t="s">
        <v>1613</v>
      </c>
      <c r="M5" s="72" t="s">
        <v>1627</v>
      </c>
      <c r="N5" s="68" t="s">
        <v>906</v>
      </c>
      <c r="O5" s="73" t="s">
        <v>1628</v>
      </c>
      <c r="P5" s="69"/>
      <c r="Q5" s="68" t="s">
        <v>906</v>
      </c>
      <c r="R5" s="73" t="s">
        <v>1616</v>
      </c>
      <c r="S5" s="68">
        <v>40</v>
      </c>
      <c r="T5" s="68" t="s">
        <v>906</v>
      </c>
    </row>
    <row r="6" s="50" customFormat="1" ht="72.5" spans="1:20">
      <c r="A6" s="50">
        <v>4</v>
      </c>
      <c r="B6" s="66" t="s">
        <v>1629</v>
      </c>
      <c r="C6" s="66" t="s">
        <v>1630</v>
      </c>
      <c r="D6" s="66" t="str">
        <f t="shared" si="0"/>
        <v>0x88</v>
      </c>
      <c r="E6" s="67" t="s">
        <v>1631</v>
      </c>
      <c r="F6" s="68">
        <v>4</v>
      </c>
      <c r="G6" s="68" t="s">
        <v>1610</v>
      </c>
      <c r="H6" s="69"/>
      <c r="I6" s="68" t="s">
        <v>906</v>
      </c>
      <c r="J6" s="70" t="s">
        <v>1626</v>
      </c>
      <c r="K6" s="71" t="s">
        <v>1612</v>
      </c>
      <c r="L6" s="68" t="s">
        <v>1613</v>
      </c>
      <c r="M6" s="72" t="s">
        <v>1632</v>
      </c>
      <c r="N6" s="68" t="s">
        <v>906</v>
      </c>
      <c r="O6" s="73" t="s">
        <v>1633</v>
      </c>
      <c r="P6" s="69"/>
      <c r="Q6" s="68" t="s">
        <v>906</v>
      </c>
      <c r="R6" s="73" t="s">
        <v>1616</v>
      </c>
      <c r="S6" s="68">
        <v>40</v>
      </c>
      <c r="T6" s="1339" t="s">
        <v>906</v>
      </c>
    </row>
    <row r="7" s="50" customFormat="1" ht="72.5" spans="1:20">
      <c r="A7" s="50">
        <v>5</v>
      </c>
      <c r="B7" s="66" t="s">
        <v>1634</v>
      </c>
      <c r="C7" s="66" t="s">
        <v>1635</v>
      </c>
      <c r="D7" s="66" t="str">
        <f t="shared" si="0"/>
        <v>0x88</v>
      </c>
      <c r="E7" s="67" t="s">
        <v>1636</v>
      </c>
      <c r="F7" s="68">
        <v>4</v>
      </c>
      <c r="G7" s="68" t="s">
        <v>1610</v>
      </c>
      <c r="H7" s="69"/>
      <c r="I7" s="68" t="s">
        <v>906</v>
      </c>
      <c r="J7" s="70" t="s">
        <v>1626</v>
      </c>
      <c r="K7" s="71" t="s">
        <v>1612</v>
      </c>
      <c r="L7" s="68" t="s">
        <v>1613</v>
      </c>
      <c r="M7" s="72" t="s">
        <v>1637</v>
      </c>
      <c r="N7" s="68" t="s">
        <v>906</v>
      </c>
      <c r="O7" s="73" t="s">
        <v>1638</v>
      </c>
      <c r="P7" s="69"/>
      <c r="Q7" s="68" t="s">
        <v>906</v>
      </c>
      <c r="R7" s="73" t="s">
        <v>1616</v>
      </c>
      <c r="S7" s="68">
        <v>40</v>
      </c>
      <c r="T7" s="68" t="s">
        <v>906</v>
      </c>
    </row>
    <row r="8" s="50" customFormat="1" ht="72.5" spans="1:20">
      <c r="A8" s="50">
        <v>6</v>
      </c>
      <c r="B8" s="66" t="s">
        <v>1639</v>
      </c>
      <c r="C8" s="66" t="s">
        <v>1640</v>
      </c>
      <c r="D8" s="66" t="str">
        <f t="shared" si="0"/>
        <v>0x88</v>
      </c>
      <c r="E8" s="67" t="s">
        <v>1641</v>
      </c>
      <c r="F8" s="68">
        <v>4</v>
      </c>
      <c r="G8" s="68" t="s">
        <v>1610</v>
      </c>
      <c r="H8" s="74"/>
      <c r="I8" s="68" t="s">
        <v>906</v>
      </c>
      <c r="J8" s="70" t="s">
        <v>1626</v>
      </c>
      <c r="K8" s="71" t="s">
        <v>1612</v>
      </c>
      <c r="L8" s="68" t="s">
        <v>1191</v>
      </c>
      <c r="M8" s="72" t="s">
        <v>1642</v>
      </c>
      <c r="N8" s="68" t="s">
        <v>906</v>
      </c>
      <c r="O8" s="73" t="s">
        <v>1643</v>
      </c>
      <c r="P8" s="69"/>
      <c r="Q8" s="68" t="s">
        <v>906</v>
      </c>
      <c r="R8" s="73" t="s">
        <v>1616</v>
      </c>
      <c r="S8" s="68">
        <v>40</v>
      </c>
      <c r="T8" s="68" t="s">
        <v>906</v>
      </c>
    </row>
    <row r="9" s="50" customFormat="1" ht="72.5" spans="1:20">
      <c r="A9" s="50">
        <v>7</v>
      </c>
      <c r="B9" s="66" t="s">
        <v>1644</v>
      </c>
      <c r="C9" s="66" t="s">
        <v>1645</v>
      </c>
      <c r="D9" s="66" t="str">
        <f t="shared" si="0"/>
        <v>0x88</v>
      </c>
      <c r="E9" s="67" t="s">
        <v>1646</v>
      </c>
      <c r="F9" s="68">
        <v>4</v>
      </c>
      <c r="G9" s="68" t="s">
        <v>1610</v>
      </c>
      <c r="H9" s="69"/>
      <c r="I9" s="68" t="s">
        <v>906</v>
      </c>
      <c r="J9" s="70" t="s">
        <v>1626</v>
      </c>
      <c r="K9" s="71" t="s">
        <v>1612</v>
      </c>
      <c r="L9" s="68" t="s">
        <v>1613</v>
      </c>
      <c r="M9" s="72" t="s">
        <v>1647</v>
      </c>
      <c r="N9" s="68" t="s">
        <v>906</v>
      </c>
      <c r="O9" s="73" t="s">
        <v>1648</v>
      </c>
      <c r="P9" s="69"/>
      <c r="Q9" s="68" t="s">
        <v>906</v>
      </c>
      <c r="R9" s="73" t="s">
        <v>1616</v>
      </c>
      <c r="S9" s="68">
        <v>40</v>
      </c>
      <c r="T9" s="68" t="s">
        <v>906</v>
      </c>
    </row>
    <row r="10" s="50" customFormat="1" ht="72.5" spans="1:20">
      <c r="A10" s="50">
        <v>8</v>
      </c>
      <c r="B10" s="66" t="s">
        <v>1649</v>
      </c>
      <c r="C10" s="66" t="s">
        <v>1650</v>
      </c>
      <c r="D10" s="66" t="str">
        <f t="shared" si="0"/>
        <v>0x88</v>
      </c>
      <c r="E10" s="67" t="s">
        <v>1651</v>
      </c>
      <c r="F10" s="68">
        <v>4</v>
      </c>
      <c r="G10" s="68" t="s">
        <v>1610</v>
      </c>
      <c r="H10" s="69"/>
      <c r="I10" s="68" t="s">
        <v>906</v>
      </c>
      <c r="J10" s="70" t="s">
        <v>1626</v>
      </c>
      <c r="K10" s="71" t="s">
        <v>1612</v>
      </c>
      <c r="L10" s="68" t="s">
        <v>1613</v>
      </c>
      <c r="M10" s="72" t="s">
        <v>1652</v>
      </c>
      <c r="N10" s="68" t="s">
        <v>906</v>
      </c>
      <c r="O10" s="73" t="s">
        <v>1653</v>
      </c>
      <c r="P10" s="69"/>
      <c r="Q10" s="68" t="s">
        <v>906</v>
      </c>
      <c r="R10" s="73" t="s">
        <v>1616</v>
      </c>
      <c r="S10" s="68">
        <v>40</v>
      </c>
      <c r="T10" s="68" t="s">
        <v>906</v>
      </c>
    </row>
    <row r="11" s="50" customFormat="1" ht="87" spans="1:20">
      <c r="A11" s="50">
        <v>9</v>
      </c>
      <c r="B11" s="66" t="s">
        <v>1654</v>
      </c>
      <c r="C11" s="66" t="s">
        <v>1655</v>
      </c>
      <c r="D11" s="66" t="str">
        <f t="shared" si="0"/>
        <v>0x87</v>
      </c>
      <c r="E11" s="67" t="s">
        <v>1656</v>
      </c>
      <c r="F11" s="68">
        <v>4</v>
      </c>
      <c r="G11" s="68" t="s">
        <v>1610</v>
      </c>
      <c r="H11" s="69"/>
      <c r="I11" s="68" t="s">
        <v>906</v>
      </c>
      <c r="J11" s="70" t="s">
        <v>1657</v>
      </c>
      <c r="K11" s="71" t="s">
        <v>1612</v>
      </c>
      <c r="L11" s="68" t="s">
        <v>1613</v>
      </c>
      <c r="M11" s="72" t="s">
        <v>1658</v>
      </c>
      <c r="N11" s="68" t="s">
        <v>906</v>
      </c>
      <c r="O11" s="73" t="s">
        <v>1659</v>
      </c>
      <c r="P11" s="69"/>
      <c r="Q11" s="68" t="s">
        <v>906</v>
      </c>
      <c r="R11" s="73" t="s">
        <v>1616</v>
      </c>
      <c r="S11" s="68">
        <v>40</v>
      </c>
      <c r="T11" s="68" t="s">
        <v>906</v>
      </c>
    </row>
    <row r="12" s="50" customFormat="1" ht="87" spans="1:20">
      <c r="A12" s="50">
        <v>10</v>
      </c>
      <c r="B12" s="66" t="s">
        <v>1660</v>
      </c>
      <c r="C12" s="66" t="s">
        <v>1661</v>
      </c>
      <c r="D12" s="66" t="str">
        <f t="shared" si="0"/>
        <v>0x87</v>
      </c>
      <c r="E12" s="67" t="s">
        <v>1662</v>
      </c>
      <c r="F12" s="68">
        <v>4</v>
      </c>
      <c r="G12" s="68" t="s">
        <v>1610</v>
      </c>
      <c r="H12" s="69"/>
      <c r="I12" s="68" t="s">
        <v>906</v>
      </c>
      <c r="J12" s="70" t="s">
        <v>1657</v>
      </c>
      <c r="K12" s="71" t="s">
        <v>1612</v>
      </c>
      <c r="L12" s="75" t="s">
        <v>1191</v>
      </c>
      <c r="M12" s="72" t="s">
        <v>1663</v>
      </c>
      <c r="N12" s="68" t="s">
        <v>906</v>
      </c>
      <c r="O12" s="73" t="s">
        <v>1659</v>
      </c>
      <c r="P12" s="69"/>
      <c r="Q12" s="68" t="s">
        <v>906</v>
      </c>
      <c r="R12" s="73" t="s">
        <v>1616</v>
      </c>
      <c r="S12" s="68">
        <v>40</v>
      </c>
      <c r="T12" s="68" t="s">
        <v>906</v>
      </c>
    </row>
    <row r="13" s="50" customFormat="1" ht="87" spans="1:20">
      <c r="A13" s="50">
        <v>11</v>
      </c>
      <c r="B13" s="66" t="s">
        <v>1664</v>
      </c>
      <c r="C13" s="66" t="s">
        <v>1665</v>
      </c>
      <c r="D13" s="66" t="str">
        <f t="shared" si="0"/>
        <v>0x87</v>
      </c>
      <c r="E13" s="67" t="s">
        <v>1666</v>
      </c>
      <c r="F13" s="68">
        <v>4</v>
      </c>
      <c r="G13" s="68" t="s">
        <v>1610</v>
      </c>
      <c r="H13" s="69"/>
      <c r="I13" s="68" t="s">
        <v>906</v>
      </c>
      <c r="J13" s="70" t="s">
        <v>1657</v>
      </c>
      <c r="K13" s="71" t="s">
        <v>1612</v>
      </c>
      <c r="L13" s="75" t="s">
        <v>1191</v>
      </c>
      <c r="M13" s="72" t="s">
        <v>1667</v>
      </c>
      <c r="N13" s="68" t="s">
        <v>906</v>
      </c>
      <c r="O13" s="73" t="s">
        <v>1659</v>
      </c>
      <c r="P13" s="69"/>
      <c r="Q13" s="68" t="s">
        <v>906</v>
      </c>
      <c r="R13" s="73" t="s">
        <v>1616</v>
      </c>
      <c r="S13" s="68">
        <v>40</v>
      </c>
      <c r="T13" s="76" t="s">
        <v>1668</v>
      </c>
    </row>
    <row r="14" s="50" customFormat="1" ht="87" spans="1:20">
      <c r="A14" s="50">
        <v>12</v>
      </c>
      <c r="B14" s="66" t="s">
        <v>1669</v>
      </c>
      <c r="C14" s="66" t="s">
        <v>1670</v>
      </c>
      <c r="D14" s="66" t="str">
        <f t="shared" si="0"/>
        <v>0x87</v>
      </c>
      <c r="E14" s="67" t="s">
        <v>1671</v>
      </c>
      <c r="F14" s="68">
        <v>4</v>
      </c>
      <c r="G14" s="68" t="s">
        <v>1610</v>
      </c>
      <c r="H14" s="69"/>
      <c r="I14" s="68" t="s">
        <v>906</v>
      </c>
      <c r="J14" s="70" t="s">
        <v>1657</v>
      </c>
      <c r="K14" s="71" t="s">
        <v>1612</v>
      </c>
      <c r="L14" s="75" t="s">
        <v>1191</v>
      </c>
      <c r="M14" s="72" t="s">
        <v>1672</v>
      </c>
      <c r="N14" s="68" t="s">
        <v>906</v>
      </c>
      <c r="O14" s="73" t="s">
        <v>1659</v>
      </c>
      <c r="P14" s="69"/>
      <c r="Q14" s="68" t="s">
        <v>906</v>
      </c>
      <c r="R14" s="73" t="s">
        <v>1616</v>
      </c>
      <c r="S14" s="68">
        <v>40</v>
      </c>
      <c r="T14" s="76" t="s">
        <v>1668</v>
      </c>
    </row>
    <row r="15" s="50" customFormat="1" ht="87" spans="1:20">
      <c r="A15" s="50">
        <v>13</v>
      </c>
      <c r="B15" s="66" t="s">
        <v>1673</v>
      </c>
      <c r="C15" s="66" t="s">
        <v>1674</v>
      </c>
      <c r="D15" s="66" t="str">
        <f t="shared" si="0"/>
        <v>0x87</v>
      </c>
      <c r="E15" s="67" t="s">
        <v>1675</v>
      </c>
      <c r="F15" s="68">
        <v>3</v>
      </c>
      <c r="G15" s="68" t="s">
        <v>1610</v>
      </c>
      <c r="H15" s="69"/>
      <c r="I15" s="68" t="s">
        <v>906</v>
      </c>
      <c r="J15" s="70" t="s">
        <v>1657</v>
      </c>
      <c r="K15" s="71" t="s">
        <v>1612</v>
      </c>
      <c r="L15" s="75" t="s">
        <v>1191</v>
      </c>
      <c r="M15" s="72" t="s">
        <v>1676</v>
      </c>
      <c r="N15" s="68" t="s">
        <v>906</v>
      </c>
      <c r="O15" s="73" t="s">
        <v>1659</v>
      </c>
      <c r="P15" s="69"/>
      <c r="Q15" s="68" t="s">
        <v>906</v>
      </c>
      <c r="R15" s="73" t="s">
        <v>1616</v>
      </c>
      <c r="S15" s="68">
        <v>40</v>
      </c>
      <c r="T15" s="76" t="s">
        <v>1668</v>
      </c>
    </row>
    <row r="16" s="50" customFormat="1" ht="87" spans="1:20">
      <c r="A16" s="50">
        <v>14</v>
      </c>
      <c r="B16" s="66" t="s">
        <v>1677</v>
      </c>
      <c r="C16" s="66" t="s">
        <v>1678</v>
      </c>
      <c r="D16" s="66" t="str">
        <f t="shared" si="0"/>
        <v>0x87</v>
      </c>
      <c r="E16" s="67" t="s">
        <v>1679</v>
      </c>
      <c r="F16" s="68">
        <v>3</v>
      </c>
      <c r="G16" s="68" t="s">
        <v>1610</v>
      </c>
      <c r="H16" s="69"/>
      <c r="I16" s="68" t="s">
        <v>906</v>
      </c>
      <c r="J16" s="70" t="s">
        <v>1657</v>
      </c>
      <c r="K16" s="71" t="s">
        <v>1612</v>
      </c>
      <c r="L16" s="75" t="s">
        <v>1191</v>
      </c>
      <c r="M16" s="72" t="s">
        <v>1680</v>
      </c>
      <c r="N16" s="68" t="s">
        <v>906</v>
      </c>
      <c r="O16" s="73" t="s">
        <v>1659</v>
      </c>
      <c r="P16" s="69"/>
      <c r="Q16" s="68" t="s">
        <v>906</v>
      </c>
      <c r="R16" s="73" t="s">
        <v>1616</v>
      </c>
      <c r="S16" s="68">
        <v>40</v>
      </c>
      <c r="T16" s="76" t="s">
        <v>1668</v>
      </c>
    </row>
    <row r="17" s="50" customFormat="1" ht="87" spans="1:20">
      <c r="A17" s="50">
        <v>15</v>
      </c>
      <c r="B17" s="66" t="s">
        <v>1681</v>
      </c>
      <c r="C17" s="66" t="s">
        <v>1682</v>
      </c>
      <c r="D17" s="66" t="str">
        <f t="shared" si="0"/>
        <v>0x87</v>
      </c>
      <c r="E17" s="67" t="s">
        <v>1683</v>
      </c>
      <c r="F17" s="68">
        <v>4</v>
      </c>
      <c r="G17" s="68" t="s">
        <v>1610</v>
      </c>
      <c r="H17" s="69"/>
      <c r="I17" s="68" t="s">
        <v>906</v>
      </c>
      <c r="J17" s="70" t="s">
        <v>1657</v>
      </c>
      <c r="K17" s="71" t="s">
        <v>1612</v>
      </c>
      <c r="L17" s="75" t="s">
        <v>1191</v>
      </c>
      <c r="M17" s="72" t="s">
        <v>1684</v>
      </c>
      <c r="N17" s="68" t="s">
        <v>906</v>
      </c>
      <c r="O17" s="73" t="s">
        <v>1659</v>
      </c>
      <c r="P17" s="69"/>
      <c r="Q17" s="68" t="s">
        <v>906</v>
      </c>
      <c r="R17" s="73" t="s">
        <v>1616</v>
      </c>
      <c r="S17" s="68">
        <v>40</v>
      </c>
      <c r="T17" s="68" t="s">
        <v>906</v>
      </c>
    </row>
    <row r="18" s="50" customFormat="1" ht="87" spans="1:20">
      <c r="A18" s="50">
        <v>16</v>
      </c>
      <c r="B18" s="66" t="s">
        <v>1685</v>
      </c>
      <c r="C18" s="66" t="s">
        <v>1686</v>
      </c>
      <c r="D18" s="66" t="str">
        <f t="shared" si="0"/>
        <v>0x87</v>
      </c>
      <c r="E18" s="67" t="s">
        <v>1687</v>
      </c>
      <c r="F18" s="68">
        <v>4</v>
      </c>
      <c r="G18" s="68" t="s">
        <v>1610</v>
      </c>
      <c r="H18" s="69"/>
      <c r="I18" s="68" t="s">
        <v>906</v>
      </c>
      <c r="J18" s="70" t="s">
        <v>1657</v>
      </c>
      <c r="K18" s="71" t="s">
        <v>1612</v>
      </c>
      <c r="L18" s="75" t="s">
        <v>1191</v>
      </c>
      <c r="M18" s="72" t="s">
        <v>1688</v>
      </c>
      <c r="N18" s="68" t="s">
        <v>906</v>
      </c>
      <c r="O18" s="73" t="s">
        <v>1659</v>
      </c>
      <c r="P18" s="69"/>
      <c r="Q18" s="68" t="s">
        <v>906</v>
      </c>
      <c r="R18" s="73" t="s">
        <v>1616</v>
      </c>
      <c r="S18" s="68">
        <v>40</v>
      </c>
      <c r="T18" s="68" t="s">
        <v>906</v>
      </c>
    </row>
    <row r="19" s="50" customFormat="1" ht="87" spans="1:20">
      <c r="A19" s="50">
        <v>17</v>
      </c>
      <c r="B19" s="66" t="s">
        <v>1689</v>
      </c>
      <c r="C19" s="66" t="s">
        <v>1690</v>
      </c>
      <c r="D19" s="66" t="str">
        <f t="shared" si="0"/>
        <v>0x87</v>
      </c>
      <c r="E19" s="67" t="s">
        <v>1691</v>
      </c>
      <c r="F19" s="68">
        <v>4</v>
      </c>
      <c r="G19" s="68" t="s">
        <v>1610</v>
      </c>
      <c r="H19" s="69"/>
      <c r="I19" s="68" t="s">
        <v>906</v>
      </c>
      <c r="J19" s="70" t="s">
        <v>1657</v>
      </c>
      <c r="K19" s="71" t="s">
        <v>1612</v>
      </c>
      <c r="L19" s="68" t="s">
        <v>1613</v>
      </c>
      <c r="M19" s="72" t="s">
        <v>1692</v>
      </c>
      <c r="N19" s="68" t="s">
        <v>906</v>
      </c>
      <c r="O19" s="73" t="s">
        <v>1659</v>
      </c>
      <c r="P19" s="69"/>
      <c r="Q19" s="68" t="s">
        <v>906</v>
      </c>
      <c r="R19" s="73" t="s">
        <v>1616</v>
      </c>
      <c r="S19" s="68">
        <v>40</v>
      </c>
      <c r="T19" s="68" t="s">
        <v>906</v>
      </c>
    </row>
    <row r="20" s="50" customFormat="1" ht="87" spans="1:20">
      <c r="A20" s="50">
        <v>18</v>
      </c>
      <c r="B20" s="66" t="s">
        <v>1693</v>
      </c>
      <c r="C20" s="66" t="s">
        <v>1694</v>
      </c>
      <c r="D20" s="66" t="str">
        <f t="shared" si="0"/>
        <v>0x87</v>
      </c>
      <c r="E20" s="67" t="s">
        <v>1695</v>
      </c>
      <c r="F20" s="68">
        <v>4</v>
      </c>
      <c r="G20" s="68" t="s">
        <v>1610</v>
      </c>
      <c r="H20" s="69"/>
      <c r="I20" s="68" t="s">
        <v>906</v>
      </c>
      <c r="J20" s="70" t="s">
        <v>1657</v>
      </c>
      <c r="K20" s="71" t="s">
        <v>1612</v>
      </c>
      <c r="L20" s="68" t="s">
        <v>1613</v>
      </c>
      <c r="M20" s="72" t="s">
        <v>1696</v>
      </c>
      <c r="N20" s="68" t="s">
        <v>906</v>
      </c>
      <c r="O20" s="73" t="s">
        <v>1659</v>
      </c>
      <c r="P20" s="69"/>
      <c r="Q20" s="68" t="s">
        <v>906</v>
      </c>
      <c r="R20" s="73" t="s">
        <v>1616</v>
      </c>
      <c r="S20" s="68">
        <v>40</v>
      </c>
      <c r="T20" s="68" t="s">
        <v>906</v>
      </c>
    </row>
    <row r="21" s="50" customFormat="1" ht="87" spans="1:20">
      <c r="A21" s="50">
        <v>19</v>
      </c>
      <c r="B21" s="66" t="s">
        <v>1697</v>
      </c>
      <c r="C21" s="66" t="s">
        <v>1698</v>
      </c>
      <c r="D21" s="66" t="str">
        <f t="shared" si="0"/>
        <v>0x87</v>
      </c>
      <c r="E21" s="67" t="s">
        <v>1699</v>
      </c>
      <c r="F21" s="68">
        <v>4</v>
      </c>
      <c r="G21" s="68" t="s">
        <v>1610</v>
      </c>
      <c r="H21" s="69"/>
      <c r="I21" s="68" t="s">
        <v>906</v>
      </c>
      <c r="J21" s="70" t="s">
        <v>1657</v>
      </c>
      <c r="K21" s="71" t="s">
        <v>1612</v>
      </c>
      <c r="L21" s="75" t="s">
        <v>1191</v>
      </c>
      <c r="M21" s="72" t="s">
        <v>1700</v>
      </c>
      <c r="N21" s="68" t="s">
        <v>906</v>
      </c>
      <c r="O21" s="73" t="s">
        <v>1659</v>
      </c>
      <c r="P21" s="69"/>
      <c r="Q21" s="68" t="s">
        <v>906</v>
      </c>
      <c r="R21" s="73" t="s">
        <v>1616</v>
      </c>
      <c r="S21" s="68">
        <v>40</v>
      </c>
      <c r="T21" s="68" t="s">
        <v>906</v>
      </c>
    </row>
    <row r="22" s="50" customFormat="1" ht="87" spans="1:20">
      <c r="A22" s="50">
        <v>20</v>
      </c>
      <c r="B22" s="66" t="s">
        <v>1701</v>
      </c>
      <c r="C22" s="66" t="s">
        <v>1702</v>
      </c>
      <c r="D22" s="66" t="str">
        <f t="shared" si="0"/>
        <v>0x87</v>
      </c>
      <c r="E22" s="67" t="s">
        <v>1703</v>
      </c>
      <c r="F22" s="68">
        <v>4</v>
      </c>
      <c r="G22" s="68" t="s">
        <v>1610</v>
      </c>
      <c r="H22" s="69"/>
      <c r="I22" s="68" t="s">
        <v>906</v>
      </c>
      <c r="J22" s="70" t="s">
        <v>1657</v>
      </c>
      <c r="K22" s="71" t="s">
        <v>1612</v>
      </c>
      <c r="L22" s="68" t="s">
        <v>1613</v>
      </c>
      <c r="M22" s="72" t="s">
        <v>1704</v>
      </c>
      <c r="N22" s="68" t="s">
        <v>906</v>
      </c>
      <c r="O22" s="73" t="s">
        <v>1659</v>
      </c>
      <c r="P22" s="69"/>
      <c r="Q22" s="68" t="s">
        <v>906</v>
      </c>
      <c r="R22" s="73" t="s">
        <v>1616</v>
      </c>
      <c r="S22" s="68">
        <v>40</v>
      </c>
      <c r="T22" s="68" t="s">
        <v>906</v>
      </c>
    </row>
    <row r="23" s="50" customFormat="1" ht="87" spans="1:20">
      <c r="A23" s="50">
        <v>21</v>
      </c>
      <c r="B23" s="66" t="s">
        <v>1705</v>
      </c>
      <c r="C23" s="66" t="s">
        <v>1706</v>
      </c>
      <c r="D23" s="66" t="str">
        <f t="shared" si="0"/>
        <v>0x87</v>
      </c>
      <c r="E23" s="67" t="s">
        <v>1707</v>
      </c>
      <c r="F23" s="68">
        <v>4</v>
      </c>
      <c r="G23" s="68" t="s">
        <v>1610</v>
      </c>
      <c r="H23" s="69"/>
      <c r="I23" s="68" t="s">
        <v>906</v>
      </c>
      <c r="J23" s="70" t="s">
        <v>1657</v>
      </c>
      <c r="K23" s="71" t="s">
        <v>1612</v>
      </c>
      <c r="L23" s="75" t="s">
        <v>1191</v>
      </c>
      <c r="M23" s="72" t="s">
        <v>1708</v>
      </c>
      <c r="N23" s="68" t="s">
        <v>906</v>
      </c>
      <c r="O23" s="73" t="s">
        <v>1659</v>
      </c>
      <c r="P23" s="69"/>
      <c r="Q23" s="68" t="s">
        <v>906</v>
      </c>
      <c r="R23" s="73" t="s">
        <v>1616</v>
      </c>
      <c r="S23" s="68">
        <v>40</v>
      </c>
      <c r="T23" s="68" t="s">
        <v>906</v>
      </c>
    </row>
    <row r="24" s="50" customFormat="1" ht="87" spans="1:20">
      <c r="A24" s="50">
        <v>22</v>
      </c>
      <c r="B24" s="66" t="s">
        <v>1709</v>
      </c>
      <c r="C24" s="66" t="s">
        <v>1710</v>
      </c>
      <c r="D24" s="66" t="str">
        <f t="shared" si="0"/>
        <v>0x87</v>
      </c>
      <c r="E24" s="67" t="s">
        <v>1711</v>
      </c>
      <c r="F24" s="68">
        <v>4</v>
      </c>
      <c r="G24" s="68" t="s">
        <v>1610</v>
      </c>
      <c r="H24" s="69"/>
      <c r="I24" s="68" t="s">
        <v>906</v>
      </c>
      <c r="J24" s="70" t="s">
        <v>1657</v>
      </c>
      <c r="K24" s="71" t="s">
        <v>1612</v>
      </c>
      <c r="L24" s="68" t="s">
        <v>1613</v>
      </c>
      <c r="M24" s="72" t="s">
        <v>1712</v>
      </c>
      <c r="N24" s="68" t="s">
        <v>906</v>
      </c>
      <c r="O24" s="73" t="s">
        <v>1659</v>
      </c>
      <c r="P24" s="69"/>
      <c r="Q24" s="68" t="s">
        <v>906</v>
      </c>
      <c r="R24" s="73" t="s">
        <v>1616</v>
      </c>
      <c r="S24" s="68">
        <v>40</v>
      </c>
      <c r="T24" s="68" t="s">
        <v>906</v>
      </c>
    </row>
    <row r="25" s="50" customFormat="1" ht="87" spans="1:20">
      <c r="A25" s="50">
        <v>23</v>
      </c>
      <c r="B25" s="66" t="s">
        <v>1713</v>
      </c>
      <c r="C25" s="66" t="s">
        <v>1714</v>
      </c>
      <c r="D25" s="66" t="str">
        <f t="shared" si="0"/>
        <v>0x87</v>
      </c>
      <c r="E25" s="67" t="s">
        <v>1715</v>
      </c>
      <c r="F25" s="68">
        <v>4</v>
      </c>
      <c r="G25" s="68" t="s">
        <v>1610</v>
      </c>
      <c r="H25" s="69"/>
      <c r="I25" s="68" t="s">
        <v>906</v>
      </c>
      <c r="J25" s="70" t="s">
        <v>1657</v>
      </c>
      <c r="K25" s="71" t="s">
        <v>1612</v>
      </c>
      <c r="L25" s="68" t="s">
        <v>1613</v>
      </c>
      <c r="M25" s="72" t="s">
        <v>1716</v>
      </c>
      <c r="N25" s="68" t="s">
        <v>906</v>
      </c>
      <c r="O25" s="73" t="s">
        <v>1659</v>
      </c>
      <c r="P25" s="69"/>
      <c r="Q25" s="68" t="s">
        <v>906</v>
      </c>
      <c r="R25" s="73" t="s">
        <v>1616</v>
      </c>
      <c r="S25" s="68">
        <v>40</v>
      </c>
      <c r="T25" s="68" t="s">
        <v>906</v>
      </c>
    </row>
    <row r="26" s="50" customFormat="1" ht="87" spans="1:20">
      <c r="A26" s="50">
        <v>24</v>
      </c>
      <c r="B26" s="66" t="s">
        <v>1717</v>
      </c>
      <c r="C26" s="66" t="s">
        <v>1718</v>
      </c>
      <c r="D26" s="66" t="str">
        <f t="shared" si="0"/>
        <v>0x87</v>
      </c>
      <c r="E26" s="67" t="s">
        <v>1719</v>
      </c>
      <c r="F26" s="68">
        <v>4</v>
      </c>
      <c r="G26" s="68" t="s">
        <v>1610</v>
      </c>
      <c r="H26" s="69"/>
      <c r="I26" s="68" t="s">
        <v>906</v>
      </c>
      <c r="J26" s="70" t="s">
        <v>1657</v>
      </c>
      <c r="K26" s="71" t="s">
        <v>1612</v>
      </c>
      <c r="L26" s="68" t="s">
        <v>1613</v>
      </c>
      <c r="M26" s="72" t="s">
        <v>1720</v>
      </c>
      <c r="N26" s="68" t="s">
        <v>906</v>
      </c>
      <c r="O26" s="73" t="s">
        <v>1659</v>
      </c>
      <c r="P26" s="69"/>
      <c r="Q26" s="68" t="s">
        <v>906</v>
      </c>
      <c r="R26" s="73" t="s">
        <v>1616</v>
      </c>
      <c r="S26" s="68">
        <v>40</v>
      </c>
      <c r="T26" s="68" t="s">
        <v>906</v>
      </c>
    </row>
    <row r="27" s="50" customFormat="1" ht="87" spans="1:20">
      <c r="A27" s="50">
        <v>25</v>
      </c>
      <c r="B27" s="66" t="s">
        <v>1721</v>
      </c>
      <c r="C27" s="66" t="s">
        <v>1722</v>
      </c>
      <c r="D27" s="66" t="str">
        <f t="shared" si="0"/>
        <v>0x87</v>
      </c>
      <c r="E27" s="67" t="s">
        <v>1723</v>
      </c>
      <c r="F27" s="68">
        <v>4</v>
      </c>
      <c r="G27" s="68" t="s">
        <v>1610</v>
      </c>
      <c r="H27" s="69"/>
      <c r="I27" s="68" t="s">
        <v>906</v>
      </c>
      <c r="J27" s="70" t="s">
        <v>1657</v>
      </c>
      <c r="K27" s="71" t="s">
        <v>1612</v>
      </c>
      <c r="L27" s="68" t="s">
        <v>1613</v>
      </c>
      <c r="M27" s="72" t="s">
        <v>1724</v>
      </c>
      <c r="N27" s="68" t="s">
        <v>906</v>
      </c>
      <c r="O27" s="73" t="s">
        <v>1659</v>
      </c>
      <c r="P27" s="69"/>
      <c r="Q27" s="68" t="s">
        <v>906</v>
      </c>
      <c r="R27" s="73" t="s">
        <v>1616</v>
      </c>
      <c r="S27" s="68">
        <v>40</v>
      </c>
      <c r="T27" s="68" t="s">
        <v>906</v>
      </c>
    </row>
    <row r="28" s="50" customFormat="1" ht="87" spans="1:20">
      <c r="A28" s="50">
        <v>26</v>
      </c>
      <c r="B28" s="66" t="s">
        <v>1725</v>
      </c>
      <c r="C28" s="66" t="s">
        <v>1726</v>
      </c>
      <c r="D28" s="66" t="str">
        <f t="shared" si="0"/>
        <v>0x87</v>
      </c>
      <c r="E28" s="67" t="s">
        <v>1727</v>
      </c>
      <c r="F28" s="68">
        <v>4</v>
      </c>
      <c r="G28" s="68" t="s">
        <v>1610</v>
      </c>
      <c r="H28" s="69"/>
      <c r="I28" s="68" t="s">
        <v>906</v>
      </c>
      <c r="J28" s="70" t="s">
        <v>1657</v>
      </c>
      <c r="K28" s="71" t="s">
        <v>1612</v>
      </c>
      <c r="L28" s="68" t="s">
        <v>1613</v>
      </c>
      <c r="M28" s="72" t="s">
        <v>1728</v>
      </c>
      <c r="N28" s="68" t="s">
        <v>906</v>
      </c>
      <c r="O28" s="73" t="s">
        <v>1659</v>
      </c>
      <c r="P28" s="69"/>
      <c r="Q28" s="68" t="s">
        <v>906</v>
      </c>
      <c r="R28" s="73" t="s">
        <v>1616</v>
      </c>
      <c r="S28" s="68">
        <v>40</v>
      </c>
      <c r="T28" s="68" t="s">
        <v>906</v>
      </c>
    </row>
    <row r="29" s="50" customFormat="1" ht="87" spans="1:20">
      <c r="A29" s="50">
        <v>27</v>
      </c>
      <c r="B29" s="66" t="s">
        <v>1729</v>
      </c>
      <c r="C29" s="66" t="s">
        <v>1730</v>
      </c>
      <c r="D29" s="66" t="str">
        <f t="shared" si="0"/>
        <v>0x87</v>
      </c>
      <c r="E29" s="67" t="s">
        <v>1731</v>
      </c>
      <c r="F29" s="68">
        <v>4</v>
      </c>
      <c r="G29" s="68" t="s">
        <v>1610</v>
      </c>
      <c r="H29" s="69"/>
      <c r="I29" s="69"/>
      <c r="J29" s="70" t="s">
        <v>1732</v>
      </c>
      <c r="K29" s="71" t="s">
        <v>1612</v>
      </c>
      <c r="L29" s="68" t="s">
        <v>1613</v>
      </c>
      <c r="M29" s="72" t="s">
        <v>1733</v>
      </c>
      <c r="N29" s="68" t="s">
        <v>906</v>
      </c>
      <c r="O29" s="73" t="s">
        <v>1659</v>
      </c>
      <c r="P29" s="69"/>
      <c r="Q29" s="68" t="s">
        <v>906</v>
      </c>
      <c r="R29" s="73" t="s">
        <v>1616</v>
      </c>
      <c r="S29" s="68">
        <v>40</v>
      </c>
      <c r="T29" s="77" t="s">
        <v>906</v>
      </c>
    </row>
    <row r="30" s="50" customFormat="1" ht="72.5" spans="1:20">
      <c r="A30" s="50">
        <v>28</v>
      </c>
      <c r="B30" s="66" t="s">
        <v>1734</v>
      </c>
      <c r="C30" s="66" t="s">
        <v>1735</v>
      </c>
      <c r="D30" s="66" t="str">
        <f t="shared" si="0"/>
        <v>0x4B</v>
      </c>
      <c r="E30" s="67" t="s">
        <v>1736</v>
      </c>
      <c r="F30" s="68">
        <v>4</v>
      </c>
      <c r="G30" s="68" t="s">
        <v>1610</v>
      </c>
      <c r="H30" s="69"/>
      <c r="I30" s="69"/>
      <c r="J30" s="70" t="s">
        <v>1611</v>
      </c>
      <c r="K30" s="71" t="s">
        <v>1612</v>
      </c>
      <c r="L30" s="68" t="s">
        <v>1613</v>
      </c>
      <c r="M30" s="72" t="s">
        <v>1737</v>
      </c>
      <c r="N30" s="78" t="s">
        <v>906</v>
      </c>
      <c r="O30" s="72" t="s">
        <v>1738</v>
      </c>
      <c r="P30" s="69"/>
      <c r="Q30" s="68" t="s">
        <v>906</v>
      </c>
      <c r="R30" s="73" t="s">
        <v>1616</v>
      </c>
      <c r="S30" s="68">
        <v>40</v>
      </c>
      <c r="T30" s="77" t="s">
        <v>906</v>
      </c>
    </row>
    <row r="31" s="50" customFormat="1" spans="1:20">
      <c r="B31" s="79"/>
      <c r="C31" s="79"/>
      <c r="D31" s="79"/>
      <c r="E31" s="80"/>
      <c r="F31" s="81"/>
      <c r="G31" s="81"/>
      <c r="H31" s="82"/>
      <c r="I31" s="82"/>
      <c r="J31" s="83"/>
      <c r="K31" s="84"/>
      <c r="L31" s="81"/>
      <c r="M31" s="85"/>
      <c r="N31" s="86"/>
      <c r="O31" s="85"/>
      <c r="P31" s="82"/>
      <c r="Q31" s="81"/>
      <c r="R31" s="87"/>
      <c r="S31" s="81"/>
      <c r="T31" s="82"/>
    </row>
    <row r="32" s="50" customFormat="1" ht="72.5" outlineLevel="1" spans="1:20">
      <c r="A32" s="50">
        <v>29</v>
      </c>
      <c r="B32" s="66" t="s">
        <v>1739</v>
      </c>
      <c r="C32" s="66" t="s">
        <v>1740</v>
      </c>
      <c r="D32" s="66" t="str">
        <f t="shared" si="0"/>
        <v>0x96</v>
      </c>
      <c r="E32" s="67" t="s">
        <v>1741</v>
      </c>
      <c r="F32" s="68">
        <v>4</v>
      </c>
      <c r="G32" s="68" t="s">
        <v>1610</v>
      </c>
      <c r="H32" s="69"/>
      <c r="I32" s="69"/>
      <c r="J32" s="70" t="s">
        <v>1611</v>
      </c>
      <c r="K32" s="71" t="s">
        <v>1612</v>
      </c>
      <c r="L32" s="68" t="s">
        <v>1196</v>
      </c>
      <c r="M32" s="73" t="s">
        <v>1742</v>
      </c>
      <c r="N32" s="68" t="s">
        <v>906</v>
      </c>
      <c r="O32" s="73" t="s">
        <v>1743</v>
      </c>
      <c r="P32" s="69"/>
      <c r="Q32" s="69" t="s">
        <v>906</v>
      </c>
      <c r="R32" s="73" t="s">
        <v>1616</v>
      </c>
      <c r="S32" s="68">
        <v>40</v>
      </c>
      <c r="T32" s="68"/>
    </row>
    <row r="33" s="50" customFormat="1" ht="72.5" outlineLevel="1" spans="1:20">
      <c r="A33" s="50">
        <v>30</v>
      </c>
      <c r="B33" s="66" t="s">
        <v>1744</v>
      </c>
      <c r="C33" s="66" t="s">
        <v>1745</v>
      </c>
      <c r="D33" s="66" t="str">
        <f t="shared" si="0"/>
        <v>0x96</v>
      </c>
      <c r="E33" s="67" t="s">
        <v>1746</v>
      </c>
      <c r="F33" s="68">
        <v>3</v>
      </c>
      <c r="G33" s="68" t="s">
        <v>1610</v>
      </c>
      <c r="H33" s="69"/>
      <c r="I33" s="69"/>
      <c r="J33" s="70" t="s">
        <v>1611</v>
      </c>
      <c r="K33" s="71" t="s">
        <v>1612</v>
      </c>
      <c r="L33" s="68" t="s">
        <v>1196</v>
      </c>
      <c r="M33" s="73" t="s">
        <v>1742</v>
      </c>
      <c r="N33" s="68" t="s">
        <v>906</v>
      </c>
      <c r="O33" s="73" t="s">
        <v>1743</v>
      </c>
      <c r="P33" s="69"/>
      <c r="Q33" s="69" t="s">
        <v>906</v>
      </c>
      <c r="R33" s="73" t="s">
        <v>1616</v>
      </c>
      <c r="S33" s="68">
        <v>40</v>
      </c>
      <c r="T33" s="68"/>
    </row>
    <row r="34" s="50" customFormat="1" ht="72.5" outlineLevel="1" spans="1:20">
      <c r="A34" s="50">
        <v>31</v>
      </c>
      <c r="B34" s="66" t="s">
        <v>1747</v>
      </c>
      <c r="C34" s="66" t="s">
        <v>1748</v>
      </c>
      <c r="D34" s="66" t="str">
        <f t="shared" si="0"/>
        <v>0x96</v>
      </c>
      <c r="E34" s="67" t="s">
        <v>1749</v>
      </c>
      <c r="F34" s="68">
        <v>3</v>
      </c>
      <c r="G34" s="68" t="s">
        <v>1610</v>
      </c>
      <c r="H34" s="69"/>
      <c r="I34" s="69"/>
      <c r="J34" s="70" t="s">
        <v>1611</v>
      </c>
      <c r="K34" s="71" t="s">
        <v>1612</v>
      </c>
      <c r="L34" s="68" t="s">
        <v>1196</v>
      </c>
      <c r="M34" s="73" t="s">
        <v>1742</v>
      </c>
      <c r="N34" s="68" t="s">
        <v>906</v>
      </c>
      <c r="O34" s="73" t="s">
        <v>1743</v>
      </c>
      <c r="P34" s="69"/>
      <c r="Q34" s="69" t="s">
        <v>906</v>
      </c>
      <c r="R34" s="73" t="s">
        <v>1616</v>
      </c>
      <c r="S34" s="68">
        <v>40</v>
      </c>
      <c r="T34" s="68"/>
    </row>
    <row r="35" s="50" customFormat="1" ht="72.5" outlineLevel="1" spans="1:20">
      <c r="A35" s="50">
        <v>32</v>
      </c>
      <c r="B35" s="66" t="s">
        <v>1750</v>
      </c>
      <c r="C35" s="66" t="s">
        <v>1751</v>
      </c>
      <c r="D35" s="66" t="str">
        <f t="shared" si="0"/>
        <v>0x96</v>
      </c>
      <c r="E35" s="67" t="s">
        <v>1752</v>
      </c>
      <c r="F35" s="68">
        <v>4</v>
      </c>
      <c r="G35" s="68" t="s">
        <v>1610</v>
      </c>
      <c r="H35" s="69"/>
      <c r="I35" s="69"/>
      <c r="J35" s="70" t="s">
        <v>1611</v>
      </c>
      <c r="K35" s="71" t="s">
        <v>1612</v>
      </c>
      <c r="L35" s="68" t="s">
        <v>1196</v>
      </c>
      <c r="M35" s="73" t="s">
        <v>1742</v>
      </c>
      <c r="N35" s="68" t="s">
        <v>906</v>
      </c>
      <c r="O35" s="73" t="s">
        <v>1743</v>
      </c>
      <c r="P35" s="69"/>
      <c r="Q35" s="69" t="s">
        <v>906</v>
      </c>
      <c r="R35" s="73" t="s">
        <v>1616</v>
      </c>
      <c r="S35" s="68">
        <v>40</v>
      </c>
      <c r="T35" s="68"/>
    </row>
    <row r="36" s="50" customFormat="1" ht="72.5" outlineLevel="1" spans="1:20">
      <c r="A36" s="50">
        <v>33</v>
      </c>
      <c r="B36" s="66" t="s">
        <v>1753</v>
      </c>
      <c r="C36" s="66" t="s">
        <v>1754</v>
      </c>
      <c r="D36" s="66" t="str">
        <f t="shared" si="0"/>
        <v>0x96</v>
      </c>
      <c r="E36" s="67" t="s">
        <v>1755</v>
      </c>
      <c r="F36" s="68">
        <v>4</v>
      </c>
      <c r="G36" s="68" t="s">
        <v>1610</v>
      </c>
      <c r="H36" s="69"/>
      <c r="I36" s="69"/>
      <c r="J36" s="70" t="s">
        <v>1611</v>
      </c>
      <c r="K36" s="71" t="s">
        <v>1612</v>
      </c>
      <c r="L36" s="68" t="s">
        <v>1196</v>
      </c>
      <c r="M36" s="73" t="s">
        <v>1742</v>
      </c>
      <c r="N36" s="68" t="s">
        <v>906</v>
      </c>
      <c r="O36" s="73" t="s">
        <v>1743</v>
      </c>
      <c r="P36" s="69"/>
      <c r="Q36" s="69" t="s">
        <v>906</v>
      </c>
      <c r="R36" s="73" t="s">
        <v>1616</v>
      </c>
      <c r="S36" s="68">
        <v>40</v>
      </c>
      <c r="T36" s="68"/>
    </row>
    <row r="37" s="50" customFormat="1" ht="72.5" outlineLevel="1" spans="1:20">
      <c r="A37" s="50">
        <v>34</v>
      </c>
      <c r="B37" s="66" t="s">
        <v>1756</v>
      </c>
      <c r="C37" s="66" t="s">
        <v>1757</v>
      </c>
      <c r="D37" s="66" t="str">
        <f t="shared" si="0"/>
        <v>0x96</v>
      </c>
      <c r="E37" s="67" t="s">
        <v>1758</v>
      </c>
      <c r="F37" s="68">
        <v>4</v>
      </c>
      <c r="G37" s="68" t="s">
        <v>1610</v>
      </c>
      <c r="H37" s="69"/>
      <c r="I37" s="69"/>
      <c r="J37" s="70" t="s">
        <v>1611</v>
      </c>
      <c r="K37" s="71" t="s">
        <v>1612</v>
      </c>
      <c r="L37" s="68" t="s">
        <v>1196</v>
      </c>
      <c r="M37" s="73" t="s">
        <v>1742</v>
      </c>
      <c r="N37" s="68" t="s">
        <v>906</v>
      </c>
      <c r="O37" s="73" t="s">
        <v>1743</v>
      </c>
      <c r="P37" s="69"/>
      <c r="Q37" s="69" t="s">
        <v>906</v>
      </c>
      <c r="R37" s="73" t="s">
        <v>1616</v>
      </c>
      <c r="S37" s="68">
        <v>40</v>
      </c>
      <c r="T37" s="68"/>
    </row>
    <row r="38" s="50" customFormat="1" ht="72.5" outlineLevel="1" spans="1:20">
      <c r="A38" s="50">
        <v>35</v>
      </c>
      <c r="B38" s="66" t="s">
        <v>1759</v>
      </c>
      <c r="C38" s="66" t="s">
        <v>1760</v>
      </c>
      <c r="D38" s="67" t="str">
        <f t="shared" si="0"/>
        <v>0x96</v>
      </c>
      <c r="E38" s="67" t="s">
        <v>1761</v>
      </c>
      <c r="F38" s="68">
        <v>4</v>
      </c>
      <c r="G38" s="68" t="s">
        <v>1610</v>
      </c>
      <c r="H38" s="69"/>
      <c r="I38" s="69"/>
      <c r="J38" s="70" t="s">
        <v>1611</v>
      </c>
      <c r="K38" s="71" t="s">
        <v>1612</v>
      </c>
      <c r="L38" s="68" t="s">
        <v>1196</v>
      </c>
      <c r="M38" s="73" t="s">
        <v>1742</v>
      </c>
      <c r="N38" s="68" t="s">
        <v>906</v>
      </c>
      <c r="O38" s="73" t="s">
        <v>1743</v>
      </c>
      <c r="P38" s="69"/>
      <c r="Q38" s="69" t="s">
        <v>906</v>
      </c>
      <c r="R38" s="73" t="s">
        <v>1616</v>
      </c>
      <c r="S38" s="68">
        <v>40</v>
      </c>
      <c r="T38" s="68"/>
    </row>
    <row r="39" s="50" customFormat="1" ht="72.5" outlineLevel="1" spans="1:20">
      <c r="A39" s="50">
        <v>36</v>
      </c>
      <c r="B39" s="66" t="s">
        <v>1762</v>
      </c>
      <c r="C39" s="66" t="s">
        <v>1763</v>
      </c>
      <c r="D39" s="67" t="str">
        <f t="shared" si="0"/>
        <v>0x46</v>
      </c>
      <c r="E39" s="67" t="s">
        <v>1764</v>
      </c>
      <c r="F39" s="68">
        <v>4</v>
      </c>
      <c r="G39" s="68" t="s">
        <v>1610</v>
      </c>
      <c r="H39" s="69"/>
      <c r="I39" s="69"/>
      <c r="J39" s="70" t="s">
        <v>1611</v>
      </c>
      <c r="K39" s="71" t="s">
        <v>1612</v>
      </c>
      <c r="L39" s="68" t="s">
        <v>1196</v>
      </c>
      <c r="M39" s="73" t="s">
        <v>1765</v>
      </c>
      <c r="N39" s="68" t="s">
        <v>906</v>
      </c>
      <c r="O39" s="73" t="s">
        <v>1766</v>
      </c>
      <c r="P39" s="69"/>
      <c r="Q39" s="69" t="s">
        <v>906</v>
      </c>
      <c r="R39" s="73" t="s">
        <v>1616</v>
      </c>
      <c r="S39" s="68">
        <v>40</v>
      </c>
      <c r="T39" s="68"/>
    </row>
    <row r="40" ht="72.5" outlineLevel="1" spans="1:20">
      <c r="A40" s="50">
        <v>37</v>
      </c>
      <c r="B40" s="88" t="s">
        <v>1767</v>
      </c>
      <c r="C40" s="88" t="s">
        <v>1768</v>
      </c>
      <c r="D40" s="89" t="str">
        <f t="shared" si="0"/>
        <v>0x09</v>
      </c>
      <c r="E40" s="89" t="s">
        <v>1769</v>
      </c>
      <c r="F40" s="90">
        <v>4</v>
      </c>
      <c r="G40" s="90" t="s">
        <v>1610</v>
      </c>
      <c r="H40" s="91"/>
      <c r="I40" s="91"/>
      <c r="J40" s="92" t="s">
        <v>1611</v>
      </c>
      <c r="K40" s="93" t="s">
        <v>1612</v>
      </c>
      <c r="L40" s="90" t="s">
        <v>1613</v>
      </c>
      <c r="M40" s="94" t="s">
        <v>1770</v>
      </c>
      <c r="N40" s="90" t="s">
        <v>906</v>
      </c>
      <c r="O40" s="94" t="s">
        <v>1743</v>
      </c>
      <c r="P40" s="91"/>
      <c r="Q40" s="91" t="s">
        <v>906</v>
      </c>
      <c r="R40" s="94" t="s">
        <v>1616</v>
      </c>
      <c r="S40" s="90">
        <v>40</v>
      </c>
      <c r="T40" s="90" t="s">
        <v>1771</v>
      </c>
    </row>
    <row r="41" s="51" customFormat="1" ht="72.5" outlineLevel="1" spans="1:20">
      <c r="A41" s="50">
        <v>38</v>
      </c>
      <c r="B41" s="88" t="s">
        <v>1772</v>
      </c>
      <c r="C41" s="88" t="s">
        <v>1773</v>
      </c>
      <c r="D41" s="89" t="str">
        <f t="shared" si="0"/>
        <v>0x62</v>
      </c>
      <c r="E41" s="89" t="s">
        <v>1774</v>
      </c>
      <c r="F41" s="90">
        <v>4</v>
      </c>
      <c r="G41" s="90" t="s">
        <v>1610</v>
      </c>
      <c r="H41" s="91"/>
      <c r="I41" s="91"/>
      <c r="J41" s="92" t="s">
        <v>1611</v>
      </c>
      <c r="K41" s="93" t="s">
        <v>1775</v>
      </c>
      <c r="L41" s="90" t="s">
        <v>1776</v>
      </c>
      <c r="M41" s="94" t="s">
        <v>1777</v>
      </c>
      <c r="N41" s="90" t="s">
        <v>906</v>
      </c>
      <c r="O41" s="94" t="s">
        <v>1778</v>
      </c>
      <c r="P41" s="91"/>
      <c r="Q41" s="91" t="s">
        <v>906</v>
      </c>
      <c r="R41" s="94" t="s">
        <v>1616</v>
      </c>
      <c r="S41" s="90" t="s">
        <v>906</v>
      </c>
      <c r="T41" s="90" t="s">
        <v>1771</v>
      </c>
    </row>
    <row r="42" ht="72.5" spans="1:20">
      <c r="A42" s="50">
        <v>39</v>
      </c>
      <c r="B42" s="95" t="s">
        <v>1779</v>
      </c>
      <c r="C42" s="91" t="s">
        <v>1780</v>
      </c>
      <c r="D42" s="91" t="str">
        <f t="shared" si="0"/>
        <v>0x29</v>
      </c>
      <c r="E42" s="92" t="s">
        <v>1781</v>
      </c>
      <c r="F42" s="90">
        <v>4</v>
      </c>
      <c r="G42" s="90" t="s">
        <v>1610</v>
      </c>
      <c r="H42" s="91"/>
      <c r="I42" s="91"/>
      <c r="J42" s="92" t="s">
        <v>1782</v>
      </c>
      <c r="K42" s="93" t="s">
        <v>1612</v>
      </c>
      <c r="L42" s="90" t="s">
        <v>1613</v>
      </c>
      <c r="M42" s="94" t="s">
        <v>1783</v>
      </c>
      <c r="N42" s="90" t="s">
        <v>906</v>
      </c>
      <c r="O42" s="91" t="s">
        <v>1784</v>
      </c>
      <c r="P42" s="91"/>
      <c r="Q42" s="91" t="s">
        <v>906</v>
      </c>
      <c r="R42" s="94" t="s">
        <v>1616</v>
      </c>
      <c r="S42" s="90">
        <v>40</v>
      </c>
      <c r="T42" s="90" t="s">
        <v>1771</v>
      </c>
    </row>
    <row r="43" ht="87" spans="1:20">
      <c r="A43" s="50">
        <v>40</v>
      </c>
      <c r="B43" s="95" t="s">
        <v>1785</v>
      </c>
      <c r="C43" s="91" t="s">
        <v>1786</v>
      </c>
      <c r="D43" s="91" t="str">
        <f t="shared" si="0"/>
        <v>0x29</v>
      </c>
      <c r="E43" s="92" t="s">
        <v>1787</v>
      </c>
      <c r="F43" s="90">
        <v>4</v>
      </c>
      <c r="G43" s="90" t="s">
        <v>1610</v>
      </c>
      <c r="H43" s="91"/>
      <c r="I43" s="91"/>
      <c r="J43" s="92" t="s">
        <v>1788</v>
      </c>
      <c r="K43" s="93" t="s">
        <v>1612</v>
      </c>
      <c r="L43" s="90" t="s">
        <v>1613</v>
      </c>
      <c r="M43" s="94" t="s">
        <v>1789</v>
      </c>
      <c r="N43" s="90" t="s">
        <v>906</v>
      </c>
      <c r="O43" s="91" t="s">
        <v>1790</v>
      </c>
      <c r="P43" s="91"/>
      <c r="Q43" s="91" t="s">
        <v>906</v>
      </c>
      <c r="R43" s="94" t="s">
        <v>1616</v>
      </c>
      <c r="S43" s="90">
        <v>40</v>
      </c>
      <c r="T43" s="90" t="s">
        <v>1771</v>
      </c>
    </row>
    <row r="44" ht="72.5" spans="1:20">
      <c r="A44" s="50">
        <v>41</v>
      </c>
      <c r="B44" s="91" t="s">
        <v>1791</v>
      </c>
      <c r="C44" s="91" t="s">
        <v>1792</v>
      </c>
      <c r="D44" s="91" t="str">
        <f t="shared" si="0"/>
        <v>0x82</v>
      </c>
      <c r="E44" s="92" t="s">
        <v>1793</v>
      </c>
      <c r="F44" s="90">
        <v>4</v>
      </c>
      <c r="G44" s="90" t="s">
        <v>1610</v>
      </c>
      <c r="H44" s="91"/>
      <c r="I44" s="91"/>
      <c r="J44" s="92" t="s">
        <v>1794</v>
      </c>
      <c r="K44" s="93" t="s">
        <v>1612</v>
      </c>
      <c r="L44" s="90" t="s">
        <v>1613</v>
      </c>
      <c r="M44" s="94" t="s">
        <v>1795</v>
      </c>
      <c r="N44" s="90" t="s">
        <v>906</v>
      </c>
      <c r="O44" s="91" t="s">
        <v>1796</v>
      </c>
      <c r="P44" s="91"/>
      <c r="Q44" s="91" t="s">
        <v>906</v>
      </c>
      <c r="R44" s="94" t="s">
        <v>1616</v>
      </c>
      <c r="S44" s="90">
        <v>40</v>
      </c>
      <c r="T44" s="90" t="s">
        <v>1771</v>
      </c>
    </row>
    <row r="45" spans="1:20">
      <c r="B45" s="52"/>
    </row>
    <row r="46" spans="1:20">
      <c r="B46" s="52"/>
    </row>
    <row r="47" spans="1:20">
      <c r="B47" s="52"/>
    </row>
    <row r="48" spans="1:20">
      <c r="B48" s="52"/>
    </row>
    <row r="49" spans="2:2">
      <c r="B49" s="52"/>
    </row>
    <row r="50" spans="2:2">
      <c r="B50" s="52"/>
    </row>
    <row r="51" spans="2:2">
      <c r="B51" s="52"/>
    </row>
    <row r="52" spans="2:2">
      <c r="B52" s="52"/>
    </row>
    <row r="53" spans="2:2">
      <c r="B53" s="52"/>
    </row>
    <row r="54" spans="2:2">
      <c r="B54" s="52"/>
    </row>
    <row r="55" spans="2:2">
      <c r="B55" s="52"/>
    </row>
    <row r="56" spans="2:2">
      <c r="B56" s="52"/>
    </row>
    <row r="57" spans="2:2">
      <c r="B57" s="52"/>
    </row>
    <row r="58" spans="2:2">
      <c r="B58" s="52"/>
    </row>
    <row r="59" spans="2:2">
      <c r="B59" s="52"/>
    </row>
    <row r="60" spans="2:2">
      <c r="B60" s="52"/>
    </row>
    <row r="61" spans="2:2">
      <c r="B61" s="52"/>
    </row>
    <row r="62" spans="2:2">
      <c r="B62" s="52"/>
    </row>
    <row r="63" spans="2:2">
      <c r="B63" s="52"/>
    </row>
    <row r="64" spans="2:2">
      <c r="B64" s="52"/>
    </row>
    <row r="65" spans="2:2">
      <c r="B65" s="52"/>
    </row>
    <row r="66" spans="2:2">
      <c r="B66" s="52"/>
    </row>
    <row r="67" spans="2:2">
      <c r="B67" s="52"/>
    </row>
    <row r="68" spans="2:2">
      <c r="B68" s="52"/>
    </row>
    <row r="69" spans="2:2">
      <c r="B69" s="52"/>
    </row>
    <row r="70" spans="2:2">
      <c r="B70" s="52"/>
    </row>
    <row r="71" spans="2:2">
      <c r="B71" s="52"/>
    </row>
    <row r="72" spans="2:2">
      <c r="B72" s="52"/>
    </row>
    <row r="73" spans="2:2">
      <c r="B73" s="52"/>
    </row>
    <row r="74" spans="2:2">
      <c r="B74" s="52"/>
    </row>
    <row r="75" spans="2:2">
      <c r="B75" s="52"/>
    </row>
    <row r="76" spans="2:2">
      <c r="B76" s="52"/>
    </row>
    <row r="77" spans="2:2">
      <c r="B77" s="52"/>
    </row>
    <row r="78" spans="2:2">
      <c r="B78" s="52"/>
    </row>
    <row r="79" spans="2:2">
      <c r="B79" s="52"/>
    </row>
    <row r="80" spans="2:2">
      <c r="B80" s="52"/>
    </row>
    <row r="81" spans="2:2">
      <c r="B81" s="52"/>
    </row>
    <row r="82" spans="2:2">
      <c r="B82" s="52"/>
    </row>
    <row r="83" spans="2:2">
      <c r="B83" s="52"/>
    </row>
    <row r="84" spans="2:2">
      <c r="B84" s="52"/>
    </row>
    <row r="85" spans="2:2">
      <c r="B85" s="52"/>
    </row>
    <row r="86" spans="2:2">
      <c r="B86" s="52"/>
    </row>
    <row r="87" spans="2:2">
      <c r="B87" s="52"/>
    </row>
    <row r="88" spans="2:2">
      <c r="B88" s="52"/>
    </row>
    <row r="89" spans="2:2">
      <c r="B89" s="52"/>
    </row>
    <row r="90" spans="2:2">
      <c r="B90" s="52"/>
    </row>
    <row r="91" spans="2:2">
      <c r="B91" s="52"/>
    </row>
    <row r="92" spans="2:2">
      <c r="B92" s="52"/>
    </row>
    <row r="93" spans="2:2">
      <c r="B93" s="52"/>
    </row>
    <row r="94" spans="2:2">
      <c r="B94" s="52"/>
    </row>
    <row r="95" spans="2:2">
      <c r="B95" s="52"/>
    </row>
    <row r="96" spans="2:2">
      <c r="B96" s="52"/>
    </row>
    <row r="97" spans="2:2">
      <c r="B97" s="52"/>
    </row>
    <row r="98" spans="2:2">
      <c r="B98" s="52"/>
    </row>
    <row r="99" spans="2:2">
      <c r="B99" s="52"/>
    </row>
    <row r="100" spans="2:2">
      <c r="B100" s="52"/>
    </row>
    <row r="101" spans="2:2">
      <c r="B101" s="52"/>
    </row>
    <row r="102" spans="2:2">
      <c r="B102" s="52"/>
    </row>
    <row r="103" spans="2:2">
      <c r="B103" s="52"/>
    </row>
    <row r="104" spans="2:2">
      <c r="B104" s="52"/>
    </row>
    <row r="105" spans="2:2">
      <c r="B105" s="52"/>
    </row>
    <row r="106" spans="2:2">
      <c r="B106" s="52"/>
    </row>
    <row r="107" spans="2:2">
      <c r="B107" s="52"/>
    </row>
    <row r="108" spans="2:2">
      <c r="B108" s="52"/>
    </row>
    <row r="109" spans="2:2">
      <c r="B109" s="52"/>
    </row>
    <row r="110" spans="2:2">
      <c r="B110" s="52"/>
    </row>
    <row r="111" spans="2:2">
      <c r="B111" s="52"/>
    </row>
    <row r="112" spans="2:2">
      <c r="B112" s="52"/>
    </row>
    <row r="113" spans="2:2">
      <c r="B113" s="52"/>
    </row>
    <row r="114" spans="2:2">
      <c r="B114" s="52"/>
    </row>
    <row r="115" spans="2:2">
      <c r="B115" s="52"/>
    </row>
    <row r="116" spans="2:2">
      <c r="B116" s="52"/>
    </row>
    <row r="117" spans="2:2">
      <c r="B117" s="52"/>
    </row>
    <row r="118" spans="2:2">
      <c r="B118" s="52"/>
    </row>
    <row r="119" spans="2:2">
      <c r="B119" s="52"/>
    </row>
    <row r="120" spans="2:2">
      <c r="B120" s="52"/>
    </row>
    <row r="121" spans="2:2">
      <c r="B121" s="52"/>
    </row>
    <row r="122" spans="2:2">
      <c r="B122" s="52"/>
    </row>
    <row r="123" spans="2:2">
      <c r="B123" s="52"/>
    </row>
    <row r="124" spans="2:2">
      <c r="B124" s="52"/>
    </row>
    <row r="125" spans="2:2">
      <c r="B125" s="52"/>
    </row>
    <row r="126" spans="2:2">
      <c r="B126" s="52"/>
    </row>
    <row r="127" spans="2:2">
      <c r="B127" s="52"/>
    </row>
    <row r="128" spans="2:2">
      <c r="B128" s="52"/>
    </row>
    <row r="129" spans="2:2">
      <c r="B129" s="52"/>
    </row>
    <row r="130" spans="2:2">
      <c r="B130" s="52"/>
    </row>
    <row r="131" spans="2:2">
      <c r="B131" s="52"/>
    </row>
    <row r="132" spans="2:2">
      <c r="B132" s="52"/>
    </row>
    <row r="133" spans="2:2">
      <c r="B133" s="52"/>
    </row>
    <row r="134" spans="2:2">
      <c r="B134" s="52"/>
    </row>
    <row r="135" spans="2:2">
      <c r="B135" s="52"/>
    </row>
    <row r="136" spans="2:2">
      <c r="B136" s="52"/>
    </row>
    <row r="137" spans="2:2">
      <c r="B137" s="52"/>
    </row>
    <row r="138" spans="2:2">
      <c r="B138" s="52"/>
    </row>
    <row r="139" spans="2:2">
      <c r="B139" s="52"/>
    </row>
    <row r="140" spans="2:2">
      <c r="B140" s="52"/>
    </row>
    <row r="141" spans="2:2">
      <c r="B141" s="52"/>
    </row>
    <row r="142" spans="2:2">
      <c r="B142" s="52"/>
    </row>
    <row r="143" spans="2:2">
      <c r="B143" s="52"/>
    </row>
    <row r="144" spans="2:2">
      <c r="B144" s="52"/>
    </row>
    <row r="145" spans="2:2">
      <c r="B145" s="52"/>
    </row>
    <row r="146" spans="2:2">
      <c r="B146" s="52"/>
    </row>
    <row r="147" spans="2:2">
      <c r="B147" s="52"/>
    </row>
    <row r="148" spans="2:2">
      <c r="B148" s="52"/>
    </row>
    <row r="149" spans="2:2">
      <c r="B149" s="52"/>
    </row>
    <row r="150" spans="2:2">
      <c r="B150" s="52"/>
    </row>
    <row r="151" spans="2:2">
      <c r="B151" s="52"/>
    </row>
    <row r="152" spans="2:2">
      <c r="B152" s="52"/>
    </row>
    <row r="153" spans="2:2">
      <c r="B153" s="52"/>
    </row>
    <row r="154" spans="2:2">
      <c r="B154" s="52"/>
    </row>
    <row r="155" spans="2:2">
      <c r="B155" s="52"/>
    </row>
    <row r="156" spans="2:2">
      <c r="B156" s="52"/>
    </row>
    <row r="157" spans="2:2">
      <c r="B157" s="52"/>
    </row>
    <row r="158" spans="2:2">
      <c r="B158" s="52"/>
    </row>
    <row r="159" spans="2:2">
      <c r="B159" s="52"/>
    </row>
    <row r="160" spans="2:2">
      <c r="B160" s="52"/>
    </row>
    <row r="161" spans="2:2">
      <c r="B161" s="52"/>
    </row>
    <row r="162" spans="2:2">
      <c r="B162" s="52"/>
    </row>
    <row r="163" spans="2:2">
      <c r="B163" s="52"/>
    </row>
    <row r="164" spans="2:2">
      <c r="B164" s="52"/>
    </row>
    <row r="165" spans="2:2">
      <c r="B165" s="52"/>
    </row>
    <row r="166" spans="2:2">
      <c r="B166" s="52"/>
    </row>
    <row r="167" spans="2:2">
      <c r="B167" s="52"/>
    </row>
    <row r="168" spans="2:2">
      <c r="B168" s="52"/>
    </row>
    <row r="169" spans="2:2">
      <c r="B169" s="52"/>
    </row>
    <row r="170" spans="2:2">
      <c r="B170" s="52"/>
    </row>
    <row r="171" spans="2:2">
      <c r="B171" s="52"/>
    </row>
    <row r="172" spans="2:2">
      <c r="B172" s="52"/>
    </row>
    <row r="173" spans="2:2">
      <c r="B173" s="52"/>
    </row>
    <row r="174" spans="2:2">
      <c r="B174" s="52"/>
    </row>
    <row r="175" spans="2:2">
      <c r="B175" s="52"/>
    </row>
    <row r="176" spans="2:2">
      <c r="B176" s="52"/>
    </row>
    <row r="177" spans="2:2">
      <c r="B177" s="52"/>
    </row>
    <row r="178" spans="2:2">
      <c r="B178" s="52"/>
    </row>
    <row r="179" spans="2:2">
      <c r="B179" s="52"/>
    </row>
    <row r="180" spans="2:2">
      <c r="B180" s="52"/>
    </row>
    <row r="181" spans="2:2">
      <c r="B181" s="52"/>
    </row>
    <row r="182" spans="2:2">
      <c r="B182" s="52"/>
    </row>
    <row r="183" spans="2:2">
      <c r="B183" s="52"/>
    </row>
    <row r="184" spans="2:2">
      <c r="B184" s="52"/>
    </row>
    <row r="185" spans="2:2">
      <c r="B185" s="52"/>
    </row>
    <row r="186" spans="2:2">
      <c r="B186" s="52"/>
    </row>
    <row r="187" spans="2:2">
      <c r="B187" s="52"/>
    </row>
    <row r="188" spans="2:2">
      <c r="B188" s="52"/>
    </row>
    <row r="189" spans="2:2">
      <c r="B189" s="52"/>
    </row>
    <row r="190" spans="2:2">
      <c r="B190" s="52"/>
    </row>
    <row r="191" spans="2:2">
      <c r="B191" s="52"/>
    </row>
    <row r="192" spans="2:2">
      <c r="B192" s="52"/>
    </row>
    <row r="193" spans="2:2">
      <c r="B193" s="52"/>
    </row>
    <row r="194" spans="2:2">
      <c r="B194" s="52"/>
    </row>
    <row r="195" spans="2:2">
      <c r="B195" s="52"/>
    </row>
    <row r="196" spans="2:2">
      <c r="B196" s="52"/>
    </row>
    <row r="197" spans="2:2">
      <c r="B197" s="52"/>
    </row>
    <row r="198" spans="2:2">
      <c r="B198" s="52"/>
    </row>
    <row r="199" spans="2:2">
      <c r="B199" s="52"/>
    </row>
    <row r="200" spans="2:2">
      <c r="B200" s="52"/>
    </row>
    <row r="201" spans="2:2">
      <c r="B201" s="52"/>
    </row>
    <row r="202" spans="2:2">
      <c r="B202" s="52"/>
    </row>
    <row r="203" spans="2:2">
      <c r="B203" s="52"/>
    </row>
    <row r="204" spans="2:2">
      <c r="B204" s="52"/>
    </row>
    <row r="205" spans="2:2">
      <c r="B205" s="52"/>
    </row>
    <row r="206" spans="2:2">
      <c r="B206" s="52"/>
    </row>
    <row r="207" spans="2:2">
      <c r="B207" s="52"/>
    </row>
    <row r="208" spans="2:2">
      <c r="B208" s="52"/>
    </row>
    <row r="209" spans="2:2">
      <c r="B209" s="52"/>
    </row>
    <row r="210" spans="2:2">
      <c r="B210" s="52"/>
    </row>
    <row r="211" spans="2:2">
      <c r="B211" s="52"/>
    </row>
    <row r="212" spans="2:2">
      <c r="B212" s="52"/>
    </row>
    <row r="213" spans="2:2">
      <c r="B213" s="52"/>
    </row>
    <row r="214" spans="2:2">
      <c r="B214" s="52"/>
    </row>
    <row r="215" spans="2:2">
      <c r="B215" s="52"/>
    </row>
    <row r="216" spans="2:2">
      <c r="B216" s="52"/>
    </row>
    <row r="217" spans="2:2">
      <c r="B217" s="52"/>
    </row>
    <row r="218" spans="2:2">
      <c r="B218" s="52"/>
    </row>
    <row r="219" spans="2:2">
      <c r="B219" s="52"/>
    </row>
    <row r="220" spans="2:2">
      <c r="B220" s="52"/>
    </row>
    <row r="221" spans="2:2">
      <c r="B221" s="52"/>
    </row>
    <row r="222" spans="2:2">
      <c r="B222" s="52"/>
    </row>
    <row r="223" spans="2:2">
      <c r="B223" s="52"/>
    </row>
    <row r="224" spans="2:2">
      <c r="B224" s="52"/>
    </row>
    <row r="225" spans="2:2">
      <c r="B225" s="52"/>
    </row>
    <row r="226" spans="2:2">
      <c r="B226" s="52"/>
    </row>
    <row r="227" spans="2:2">
      <c r="B227" s="52"/>
    </row>
    <row r="228" spans="2:2">
      <c r="B228" s="52"/>
    </row>
    <row r="229" spans="2:2">
      <c r="B229" s="52"/>
    </row>
    <row r="230" spans="2:2">
      <c r="B230" s="52"/>
    </row>
    <row r="231" spans="2:2">
      <c r="B231" s="52"/>
    </row>
    <row r="232" spans="2:2">
      <c r="B232" s="52"/>
    </row>
    <row r="233" spans="2:2">
      <c r="B233" s="52"/>
    </row>
    <row r="234" spans="2:2">
      <c r="B234" s="52"/>
    </row>
    <row r="235" spans="2:2">
      <c r="B235" s="52"/>
    </row>
    <row r="236" spans="2:2">
      <c r="B236" s="52"/>
    </row>
    <row r="237" spans="2:2">
      <c r="B237" s="52"/>
    </row>
    <row r="238" spans="2:2">
      <c r="B238" s="52"/>
    </row>
    <row r="239" spans="2:2">
      <c r="B239" s="52"/>
    </row>
    <row r="240" spans="2:2">
      <c r="B240" s="52"/>
    </row>
    <row r="241" spans="2:2">
      <c r="B241" s="52"/>
    </row>
    <row r="242" spans="2:2">
      <c r="B242" s="52"/>
    </row>
    <row r="243" spans="2:2">
      <c r="B243" s="52"/>
    </row>
    <row r="244" spans="2:2">
      <c r="B244" s="52"/>
    </row>
    <row r="245" spans="2:2">
      <c r="B245" s="52"/>
    </row>
    <row r="246" spans="2:2">
      <c r="B246" s="52"/>
    </row>
    <row r="247" spans="2:2">
      <c r="B247" s="52"/>
    </row>
    <row r="248" spans="2:2">
      <c r="B248" s="52"/>
    </row>
    <row r="249" spans="2:2">
      <c r="B249" s="52"/>
    </row>
    <row r="250" spans="2:2">
      <c r="B250" s="52"/>
    </row>
    <row r="251" spans="2:2">
      <c r="B251" s="52"/>
    </row>
    <row r="252" spans="2:2">
      <c r="B252" s="52"/>
    </row>
    <row r="253" spans="2:2">
      <c r="B253" s="52"/>
    </row>
    <row r="254" spans="2:2">
      <c r="B254" s="52"/>
    </row>
    <row r="255" spans="2:2">
      <c r="B255" s="52"/>
    </row>
    <row r="256" spans="2:2">
      <c r="B256" s="52"/>
    </row>
    <row r="257" spans="2:2">
      <c r="B257" s="52"/>
    </row>
    <row r="258" spans="2:2">
      <c r="B258" s="52"/>
    </row>
    <row r="259" spans="2:2">
      <c r="B259" s="52"/>
    </row>
    <row r="260" spans="2:2">
      <c r="B260" s="52"/>
    </row>
    <row r="261" spans="2:2">
      <c r="B261" s="52"/>
    </row>
    <row r="262" spans="2:2">
      <c r="B262" s="52"/>
    </row>
    <row r="263" spans="2:2">
      <c r="B263" s="52"/>
    </row>
    <row r="264" spans="2:2">
      <c r="B264" s="52"/>
    </row>
    <row r="265" spans="2:2">
      <c r="B265" s="52"/>
    </row>
    <row r="266" spans="2:2">
      <c r="B266" s="52"/>
    </row>
    <row r="267" spans="2:2">
      <c r="B267" s="52"/>
    </row>
    <row r="268" spans="2:2">
      <c r="B268" s="52"/>
    </row>
    <row r="269" spans="2:2">
      <c r="B269" s="52"/>
    </row>
    <row r="270" spans="2:2">
      <c r="B270" s="52"/>
    </row>
    <row r="271" spans="2:2">
      <c r="B271" s="52"/>
    </row>
    <row r="272" spans="2:2">
      <c r="B272" s="52"/>
    </row>
    <row r="273" spans="2:2">
      <c r="B273" s="52"/>
    </row>
    <row r="274" spans="2:2">
      <c r="B274" s="52"/>
    </row>
    <row r="275" spans="2:2">
      <c r="B275" s="52"/>
    </row>
    <row r="276" spans="2:2">
      <c r="B276" s="52"/>
    </row>
    <row r="277" spans="2:2">
      <c r="B277" s="52"/>
    </row>
    <row r="278" spans="2:2">
      <c r="B278" s="52"/>
    </row>
    <row r="279" spans="2:2">
      <c r="B279" s="52"/>
    </row>
    <row r="280" spans="2:2">
      <c r="B280" s="52"/>
    </row>
    <row r="281" spans="2:2">
      <c r="B281" s="52"/>
    </row>
    <row r="282" spans="2:2">
      <c r="B282" s="52"/>
    </row>
    <row r="283" spans="2:2">
      <c r="B283" s="52"/>
    </row>
    <row r="284" spans="2:2">
      <c r="B284" s="52"/>
    </row>
    <row r="285" spans="2:2">
      <c r="B285" s="52"/>
    </row>
    <row r="286" spans="2:2">
      <c r="B286" s="52"/>
    </row>
    <row r="287" spans="2:2">
      <c r="B287" s="52"/>
    </row>
    <row r="288" spans="2:2">
      <c r="B288" s="52"/>
    </row>
    <row r="289" spans="2:2">
      <c r="B289" s="52"/>
    </row>
    <row r="290" spans="2:2">
      <c r="B290" s="52"/>
    </row>
    <row r="291" spans="2:2">
      <c r="B291" s="52"/>
    </row>
    <row r="292" spans="2:2">
      <c r="B292" s="52"/>
    </row>
    <row r="293" spans="2:2">
      <c r="B293" s="52"/>
    </row>
    <row r="294" spans="2:2">
      <c r="B294" s="52"/>
    </row>
    <row r="295" spans="2:2">
      <c r="B295" s="52"/>
    </row>
    <row r="296" spans="2:2">
      <c r="B296" s="52"/>
    </row>
    <row r="297" spans="2:2">
      <c r="B297" s="52"/>
    </row>
    <row r="298" spans="2:2">
      <c r="B298" s="52"/>
    </row>
    <row r="299" spans="2:2">
      <c r="B299" s="52"/>
    </row>
    <row r="300" spans="2:2">
      <c r="B300" s="52"/>
    </row>
    <row r="301" spans="2:2">
      <c r="B301" s="52"/>
    </row>
    <row r="302" spans="2:2">
      <c r="B302" s="52"/>
    </row>
    <row r="303" spans="2:2">
      <c r="B303" s="52"/>
    </row>
    <row r="304" spans="2:2">
      <c r="B304" s="52"/>
    </row>
    <row r="305" spans="2:2">
      <c r="B305" s="52"/>
    </row>
    <row r="306" spans="2:2">
      <c r="B306" s="52"/>
    </row>
  </sheetData>
  <pageMargins left="0.787401575" right="0.787401575" top="0.984251969" bottom="0.984251969" header="0.511805555555556" footer="0.511805555555556"/>
  <pageSetup paperSize="9" scale="19" firstPageNumber="0" orientation="portrait" useFirstPageNumber="1" horizontalDpi="300" verticalDpi="300"/>
  <headerFooter alignWithMargins="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1"/>
  <sheetViews>
    <sheetView showGridLines="0" view="pageBreakPreview" zoomScaleNormal="85" workbookViewId="0">
      <pane ySplit="2" topLeftCell="A12" activePane="bottomLeft" state="frozen"/>
      <selection/>
      <selection pane="bottomLeft" activeCell="B20" sqref="B20"/>
    </sheetView>
  </sheetViews>
  <sheetFormatPr defaultColWidth="8" defaultRowHeight="14.25" customHeight="1"/>
  <cols>
    <col min="1" max="1" width="15.7272727272727" style="3" customWidth="1"/>
    <col min="2" max="2" width="38.0909090909091" style="4" customWidth="1"/>
    <col min="3" max="3" width="10.7272727272727" style="3" customWidth="1"/>
    <col min="4" max="4" width="31.9090909090909" style="4" customWidth="1"/>
    <col min="5" max="5" width="15.4545454545455" style="3" customWidth="1"/>
    <col min="6" max="6" width="6.45454545454545" style="3" customWidth="1"/>
    <col min="7" max="7" width="9.09090909090909" style="3" customWidth="1"/>
    <col min="8" max="8" width="20.6363636363636" style="4" customWidth="1"/>
    <col min="9" max="9" width="22.9090909090909" style="4" customWidth="1"/>
    <col min="10" max="10" width="8.90909090909091" style="4" customWidth="1"/>
    <col min="11" max="11" width="21.9090909090909" style="4" customWidth="1"/>
    <col min="12" max="12" width="20.3636363636364" style="4" customWidth="1"/>
    <col min="13" max="13" width="13.9090909090909" style="4" customWidth="1"/>
    <col min="14" max="14" width="11.9090909090909" style="4" customWidth="1"/>
    <col min="15" max="15" width="16.3636363636364" style="4" customWidth="1"/>
    <col min="16" max="16" width="19.0909090909091" style="4" customWidth="1"/>
    <col min="17" max="17" width="5.72727272727273" style="4" customWidth="1"/>
    <col min="18" max="16384" width="8" style="4"/>
  </cols>
  <sheetData>
    <row r="1" s="1" customFormat="1" ht="15.5" spans="1:16">
      <c r="A1" s="5"/>
      <c r="B1" s="6"/>
      <c r="C1" s="6"/>
      <c r="D1" s="7"/>
      <c r="E1" s="7"/>
      <c r="F1" s="7"/>
      <c r="G1" s="7"/>
      <c r="H1" s="6"/>
      <c r="I1" s="6"/>
      <c r="J1" s="6"/>
      <c r="K1" s="8"/>
      <c r="L1" s="8"/>
      <c r="M1" s="8"/>
      <c r="N1" s="8"/>
      <c r="O1" s="8"/>
      <c r="P1" s="8"/>
    </row>
    <row r="2" s="1" customFormat="1" ht="15.5" spans="1:16">
      <c r="A2" s="9" t="s">
        <v>889</v>
      </c>
      <c r="B2" s="9" t="s">
        <v>890</v>
      </c>
      <c r="C2" s="10" t="s">
        <v>891</v>
      </c>
      <c r="D2" s="11" t="s">
        <v>892</v>
      </c>
      <c r="E2" s="10" t="s">
        <v>893</v>
      </c>
      <c r="F2" s="10" t="s">
        <v>894</v>
      </c>
      <c r="G2" s="10" t="s">
        <v>895</v>
      </c>
      <c r="H2" s="12" t="s">
        <v>89</v>
      </c>
      <c r="I2" s="12" t="s">
        <v>90</v>
      </c>
      <c r="J2" s="13" t="s">
        <v>897</v>
      </c>
      <c r="K2" s="14" t="s">
        <v>898</v>
      </c>
      <c r="L2" s="14" t="s">
        <v>899</v>
      </c>
      <c r="M2" s="14" t="s">
        <v>900</v>
      </c>
      <c r="N2" s="14" t="s">
        <v>901</v>
      </c>
      <c r="O2" s="14" t="s">
        <v>902</v>
      </c>
      <c r="P2" s="14" t="s">
        <v>903</v>
      </c>
    </row>
    <row r="3" s="1" customFormat="1" ht="15.5" spans="1:16">
      <c r="A3" s="15" t="s">
        <v>1797</v>
      </c>
      <c r="B3" s="16" t="s">
        <v>1798</v>
      </c>
      <c r="C3" s="17" t="s">
        <v>476</v>
      </c>
      <c r="D3" s="16" t="s">
        <v>1798</v>
      </c>
      <c r="E3" s="18">
        <v>3</v>
      </c>
      <c r="F3" s="18">
        <v>0</v>
      </c>
      <c r="G3" s="18">
        <v>16</v>
      </c>
      <c r="H3" s="19" t="s">
        <v>920</v>
      </c>
      <c r="I3" s="20" t="s">
        <v>1799</v>
      </c>
      <c r="J3" s="21" t="s">
        <v>906</v>
      </c>
      <c r="K3" s="22" t="s">
        <v>1800</v>
      </c>
      <c r="L3" s="22" t="s">
        <v>1800</v>
      </c>
      <c r="M3" s="23" t="s">
        <v>476</v>
      </c>
      <c r="N3" s="23" t="s">
        <v>909</v>
      </c>
      <c r="O3" s="24" t="s">
        <v>941</v>
      </c>
      <c r="P3" s="25"/>
    </row>
    <row r="4" s="1" customFormat="1" ht="46.5" spans="1:16">
      <c r="A4" s="15" t="s">
        <v>1801</v>
      </c>
      <c r="B4" s="16" t="s">
        <v>796</v>
      </c>
      <c r="C4" s="17" t="s">
        <v>476</v>
      </c>
      <c r="D4" s="16" t="s">
        <v>796</v>
      </c>
      <c r="E4" s="18">
        <v>3</v>
      </c>
      <c r="F4" s="18">
        <v>0</v>
      </c>
      <c r="G4" s="18">
        <v>16</v>
      </c>
      <c r="H4" s="19" t="s">
        <v>920</v>
      </c>
      <c r="I4" s="20" t="s">
        <v>1802</v>
      </c>
      <c r="J4" s="21" t="s">
        <v>1542</v>
      </c>
      <c r="K4" s="22" t="s">
        <v>1803</v>
      </c>
      <c r="L4" s="22" t="s">
        <v>1803</v>
      </c>
      <c r="M4" s="23" t="s">
        <v>476</v>
      </c>
      <c r="N4" s="23" t="s">
        <v>909</v>
      </c>
      <c r="O4" s="24" t="s">
        <v>941</v>
      </c>
      <c r="P4" s="25"/>
    </row>
    <row r="5" s="1" customFormat="1" ht="46.5" spans="1:16">
      <c r="A5" s="15" t="s">
        <v>1804</v>
      </c>
      <c r="B5" s="16" t="s">
        <v>791</v>
      </c>
      <c r="C5" s="17" t="s">
        <v>476</v>
      </c>
      <c r="D5" s="16" t="s">
        <v>791</v>
      </c>
      <c r="E5" s="18">
        <v>3</v>
      </c>
      <c r="F5" s="18">
        <v>0</v>
      </c>
      <c r="G5" s="18">
        <v>14</v>
      </c>
      <c r="H5" s="19" t="s">
        <v>1105</v>
      </c>
      <c r="I5" s="20" t="s">
        <v>1805</v>
      </c>
      <c r="J5" s="21" t="s">
        <v>1478</v>
      </c>
      <c r="K5" s="22" t="s">
        <v>1806</v>
      </c>
      <c r="L5" s="22" t="s">
        <v>1806</v>
      </c>
      <c r="M5" s="23" t="s">
        <v>476</v>
      </c>
      <c r="N5" s="23" t="s">
        <v>909</v>
      </c>
      <c r="O5" s="24" t="s">
        <v>941</v>
      </c>
      <c r="P5" s="25"/>
    </row>
    <row r="6" s="1" customFormat="1" ht="170.5" spans="1:16">
      <c r="A6" s="15" t="s">
        <v>1807</v>
      </c>
      <c r="B6" s="16" t="s">
        <v>1808</v>
      </c>
      <c r="C6" s="17" t="s">
        <v>476</v>
      </c>
      <c r="D6" s="16" t="s">
        <v>1808</v>
      </c>
      <c r="E6" s="18">
        <v>3</v>
      </c>
      <c r="F6" s="18">
        <v>0</v>
      </c>
      <c r="G6" s="18">
        <v>3</v>
      </c>
      <c r="H6" s="19" t="s">
        <v>1105</v>
      </c>
      <c r="I6" s="20" t="s">
        <v>1809</v>
      </c>
      <c r="J6" s="21"/>
      <c r="K6" s="22" t="s">
        <v>1810</v>
      </c>
      <c r="L6" s="22" t="s">
        <v>1810</v>
      </c>
      <c r="M6" s="23" t="s">
        <v>476</v>
      </c>
      <c r="N6" s="23" t="s">
        <v>909</v>
      </c>
      <c r="O6" s="24" t="s">
        <v>941</v>
      </c>
      <c r="P6" s="25"/>
    </row>
    <row r="7" s="1" customFormat="1" ht="46.5" spans="1:16">
      <c r="A7" s="15" t="s">
        <v>1811</v>
      </c>
      <c r="B7" s="16" t="s">
        <v>1812</v>
      </c>
      <c r="C7" s="17" t="s">
        <v>467</v>
      </c>
      <c r="D7" s="16" t="s">
        <v>1812</v>
      </c>
      <c r="E7" s="18">
        <v>3</v>
      </c>
      <c r="F7" s="18">
        <v>0</v>
      </c>
      <c r="G7" s="18">
        <v>8</v>
      </c>
      <c r="H7" s="19" t="s">
        <v>920</v>
      </c>
      <c r="I7" s="20" t="s">
        <v>1813</v>
      </c>
      <c r="J7" s="21" t="s">
        <v>906</v>
      </c>
      <c r="K7" s="22" t="s">
        <v>1814</v>
      </c>
      <c r="L7" s="22" t="s">
        <v>1814</v>
      </c>
      <c r="M7" s="23" t="s">
        <v>467</v>
      </c>
      <c r="N7" s="23" t="s">
        <v>909</v>
      </c>
      <c r="O7" s="18" t="s">
        <v>910</v>
      </c>
      <c r="P7" s="25"/>
    </row>
    <row r="8" s="2" customFormat="1" ht="46" outlineLevel="1" spans="1:16">
      <c r="A8" s="26" t="s">
        <v>1815</v>
      </c>
      <c r="B8" s="16" t="s">
        <v>1816</v>
      </c>
      <c r="C8" s="17" t="s">
        <v>476</v>
      </c>
      <c r="D8" s="16" t="s">
        <v>1816</v>
      </c>
      <c r="E8" s="18">
        <v>3</v>
      </c>
      <c r="F8" s="18">
        <v>0</v>
      </c>
      <c r="G8" s="18">
        <v>8</v>
      </c>
      <c r="H8" s="19" t="s">
        <v>920</v>
      </c>
      <c r="I8" s="20" t="s">
        <v>1817</v>
      </c>
      <c r="J8" s="16" t="s">
        <v>906</v>
      </c>
      <c r="K8" s="27" t="s">
        <v>1818</v>
      </c>
      <c r="L8" s="27" t="s">
        <v>1818</v>
      </c>
      <c r="M8" s="18" t="s">
        <v>476</v>
      </c>
      <c r="N8" s="18" t="s">
        <v>909</v>
      </c>
      <c r="O8" s="18" t="s">
        <v>941</v>
      </c>
      <c r="P8" s="27" t="s">
        <v>1819</v>
      </c>
    </row>
    <row r="9" s="2" customFormat="1" ht="46.5" outlineLevel="1" spans="1:16">
      <c r="A9" s="26" t="s">
        <v>1820</v>
      </c>
      <c r="B9" s="28" t="s">
        <v>1821</v>
      </c>
      <c r="C9" s="26" t="s">
        <v>476</v>
      </c>
      <c r="D9" s="26" t="s">
        <v>1821</v>
      </c>
      <c r="E9" s="18">
        <v>3</v>
      </c>
      <c r="F9" s="18">
        <v>0</v>
      </c>
      <c r="G9" s="18">
        <v>16</v>
      </c>
      <c r="H9" s="19" t="s">
        <v>920</v>
      </c>
      <c r="I9" s="20" t="s">
        <v>1822</v>
      </c>
      <c r="J9" s="16" t="s">
        <v>1478</v>
      </c>
      <c r="K9" s="28" t="s">
        <v>1823</v>
      </c>
      <c r="L9" s="27" t="s">
        <v>1824</v>
      </c>
      <c r="M9" s="26" t="s">
        <v>476</v>
      </c>
      <c r="N9" s="26" t="s">
        <v>909</v>
      </c>
      <c r="O9" s="26" t="s">
        <v>941</v>
      </c>
      <c r="P9" s="26"/>
    </row>
    <row r="10" s="2" customFormat="1" ht="46.5" outlineLevel="1" spans="1:16">
      <c r="A10" s="29"/>
      <c r="B10" s="29"/>
      <c r="C10" s="29"/>
      <c r="D10" s="29"/>
      <c r="E10" s="18">
        <v>5</v>
      </c>
      <c r="F10" s="18">
        <v>0</v>
      </c>
      <c r="G10" s="18">
        <v>16</v>
      </c>
      <c r="H10" s="19" t="s">
        <v>920</v>
      </c>
      <c r="I10" s="20" t="s">
        <v>1822</v>
      </c>
      <c r="J10" s="16" t="s">
        <v>1478</v>
      </c>
      <c r="K10" s="29"/>
      <c r="L10" s="27" t="s">
        <v>1825</v>
      </c>
      <c r="M10" s="29"/>
      <c r="N10" s="29"/>
      <c r="O10" s="29"/>
      <c r="P10" s="29"/>
    </row>
    <row r="11" s="2" customFormat="1" ht="46.5" outlineLevel="1" spans="1:16">
      <c r="A11" s="30"/>
      <c r="B11" s="30"/>
      <c r="C11" s="30"/>
      <c r="D11" s="30"/>
      <c r="E11" s="18">
        <v>7</v>
      </c>
      <c r="F11" s="18">
        <v>0</v>
      </c>
      <c r="G11" s="18">
        <v>16</v>
      </c>
      <c r="H11" s="19" t="s">
        <v>920</v>
      </c>
      <c r="I11" s="20" t="s">
        <v>1822</v>
      </c>
      <c r="J11" s="16" t="s">
        <v>1478</v>
      </c>
      <c r="K11" s="30"/>
      <c r="L11" s="27" t="s">
        <v>1826</v>
      </c>
      <c r="M11" s="30"/>
      <c r="N11" s="30"/>
      <c r="O11" s="30"/>
      <c r="P11" s="30"/>
    </row>
    <row r="12" s="2" customFormat="1" ht="46.5" outlineLevel="1" spans="1:16">
      <c r="A12" s="29" t="s">
        <v>1827</v>
      </c>
      <c r="B12" s="16" t="s">
        <v>1828</v>
      </c>
      <c r="C12" s="17" t="s">
        <v>476</v>
      </c>
      <c r="D12" s="16" t="s">
        <v>1828</v>
      </c>
      <c r="E12" s="18">
        <v>3</v>
      </c>
      <c r="F12" s="18">
        <v>0</v>
      </c>
      <c r="G12" s="18">
        <v>16</v>
      </c>
      <c r="H12" s="19" t="s">
        <v>920</v>
      </c>
      <c r="I12" s="20" t="s">
        <v>1822</v>
      </c>
      <c r="J12" s="16" t="s">
        <v>1478</v>
      </c>
      <c r="K12" s="27" t="s">
        <v>1829</v>
      </c>
      <c r="L12" s="27" t="s">
        <v>1830</v>
      </c>
      <c r="M12" s="31" t="s">
        <v>476</v>
      </c>
      <c r="N12" s="18" t="s">
        <v>909</v>
      </c>
      <c r="O12" s="18" t="s">
        <v>941</v>
      </c>
      <c r="P12" s="27"/>
    </row>
    <row r="13" s="2" customFormat="1" ht="46.5" outlineLevel="1" spans="1:16">
      <c r="A13" s="26" t="s">
        <v>1831</v>
      </c>
      <c r="B13" s="28" t="s">
        <v>1832</v>
      </c>
      <c r="C13" s="26" t="s">
        <v>476</v>
      </c>
      <c r="D13" s="26" t="s">
        <v>1832</v>
      </c>
      <c r="E13" s="18">
        <v>3</v>
      </c>
      <c r="F13" s="18">
        <v>0</v>
      </c>
      <c r="G13" s="18">
        <v>16</v>
      </c>
      <c r="H13" s="19" t="s">
        <v>920</v>
      </c>
      <c r="I13" s="20" t="s">
        <v>1822</v>
      </c>
      <c r="J13" s="16" t="s">
        <v>1478</v>
      </c>
      <c r="K13" s="28" t="s">
        <v>1833</v>
      </c>
      <c r="L13" s="32" t="s">
        <v>1834</v>
      </c>
      <c r="M13" s="31" t="s">
        <v>476</v>
      </c>
      <c r="N13" s="31" t="s">
        <v>909</v>
      </c>
      <c r="O13" s="31" t="s">
        <v>941</v>
      </c>
      <c r="P13" s="31"/>
    </row>
    <row r="14" s="2" customFormat="1" ht="46.5" outlineLevel="1" spans="1:16">
      <c r="A14" s="29"/>
      <c r="B14" s="29"/>
      <c r="C14" s="29"/>
      <c r="D14" s="29"/>
      <c r="E14" s="18">
        <v>5</v>
      </c>
      <c r="F14" s="18">
        <v>0</v>
      </c>
      <c r="G14" s="18">
        <v>16</v>
      </c>
      <c r="H14" s="19" t="s">
        <v>920</v>
      </c>
      <c r="I14" s="20" t="s">
        <v>1822</v>
      </c>
      <c r="J14" s="16" t="s">
        <v>1478</v>
      </c>
      <c r="K14" s="33"/>
      <c r="L14" s="32" t="s">
        <v>1825</v>
      </c>
      <c r="M14" s="34"/>
      <c r="N14" s="34"/>
      <c r="O14" s="34"/>
      <c r="P14" s="34"/>
    </row>
    <row r="15" s="2" customFormat="1" ht="46.5" outlineLevel="1" spans="1:16">
      <c r="A15" s="29"/>
      <c r="B15" s="29"/>
      <c r="C15" s="29"/>
      <c r="D15" s="29"/>
      <c r="E15" s="18">
        <v>7</v>
      </c>
      <c r="F15" s="18">
        <v>0</v>
      </c>
      <c r="G15" s="18">
        <v>16</v>
      </c>
      <c r="H15" s="19" t="s">
        <v>920</v>
      </c>
      <c r="I15" s="20" t="s">
        <v>1822</v>
      </c>
      <c r="J15" s="16" t="s">
        <v>1478</v>
      </c>
      <c r="K15" s="33"/>
      <c r="L15" s="32" t="s">
        <v>1835</v>
      </c>
      <c r="M15" s="34"/>
      <c r="N15" s="34"/>
      <c r="O15" s="34"/>
      <c r="P15" s="34"/>
    </row>
    <row r="16" s="2" customFormat="1" ht="46.5" outlineLevel="1" spans="1:16">
      <c r="A16" s="30"/>
      <c r="B16" s="30"/>
      <c r="C16" s="30"/>
      <c r="D16" s="30"/>
      <c r="E16" s="18">
        <v>8</v>
      </c>
      <c r="F16" s="18">
        <v>0</v>
      </c>
      <c r="G16" s="18">
        <v>16</v>
      </c>
      <c r="H16" s="19" t="s">
        <v>920</v>
      </c>
      <c r="I16" s="20" t="s">
        <v>1822</v>
      </c>
      <c r="J16" s="16" t="s">
        <v>1478</v>
      </c>
      <c r="K16" s="35"/>
      <c r="L16" s="32" t="s">
        <v>1836</v>
      </c>
      <c r="M16" s="36"/>
      <c r="N16" s="36"/>
      <c r="O16" s="36"/>
      <c r="P16" s="36"/>
    </row>
    <row r="17" s="2" customFormat="1" ht="46.5" outlineLevel="1" spans="1:16">
      <c r="A17" s="30" t="s">
        <v>1837</v>
      </c>
      <c r="B17" s="16" t="s">
        <v>1838</v>
      </c>
      <c r="C17" s="17" t="s">
        <v>476</v>
      </c>
      <c r="D17" s="16" t="s">
        <v>1838</v>
      </c>
      <c r="E17" s="18">
        <v>3</v>
      </c>
      <c r="F17" s="18">
        <v>0</v>
      </c>
      <c r="G17" s="18">
        <v>16</v>
      </c>
      <c r="H17" s="19" t="s">
        <v>920</v>
      </c>
      <c r="I17" s="20" t="s">
        <v>1822</v>
      </c>
      <c r="J17" s="16" t="s">
        <v>1478</v>
      </c>
      <c r="K17" s="27" t="s">
        <v>1839</v>
      </c>
      <c r="L17" s="27" t="s">
        <v>1839</v>
      </c>
      <c r="M17" s="36" t="s">
        <v>476</v>
      </c>
      <c r="N17" s="18" t="s">
        <v>909</v>
      </c>
      <c r="O17" s="18" t="s">
        <v>941</v>
      </c>
      <c r="P17" s="27"/>
    </row>
    <row r="18" s="2" customFormat="1" ht="46.5" outlineLevel="1" spans="1:16">
      <c r="A18" s="17" t="s">
        <v>1840</v>
      </c>
      <c r="B18" s="16" t="s">
        <v>1841</v>
      </c>
      <c r="C18" s="17" t="s">
        <v>476</v>
      </c>
      <c r="D18" s="16" t="s">
        <v>1841</v>
      </c>
      <c r="E18" s="18">
        <v>3</v>
      </c>
      <c r="F18" s="18">
        <v>0</v>
      </c>
      <c r="G18" s="18">
        <v>8</v>
      </c>
      <c r="H18" s="19" t="s">
        <v>920</v>
      </c>
      <c r="I18" s="20" t="s">
        <v>1842</v>
      </c>
      <c r="J18" s="16" t="s">
        <v>906</v>
      </c>
      <c r="K18" s="27" t="s">
        <v>1843</v>
      </c>
      <c r="L18" s="27" t="s">
        <v>1843</v>
      </c>
      <c r="M18" s="18" t="s">
        <v>476</v>
      </c>
      <c r="N18" s="18" t="s">
        <v>909</v>
      </c>
      <c r="O18" s="18" t="s">
        <v>941</v>
      </c>
      <c r="P18" s="27"/>
    </row>
    <row r="19" s="2" customFormat="1" ht="46.5" outlineLevel="1" spans="1:16">
      <c r="A19" s="37" t="s">
        <v>1844</v>
      </c>
      <c r="B19" s="38" t="s">
        <v>1845</v>
      </c>
      <c r="C19" s="37" t="s">
        <v>476</v>
      </c>
      <c r="D19" s="38" t="s">
        <v>1845</v>
      </c>
      <c r="E19" s="39">
        <v>3</v>
      </c>
      <c r="F19" s="39">
        <v>0</v>
      </c>
      <c r="G19" s="39">
        <v>8</v>
      </c>
      <c r="H19" s="40" t="s">
        <v>920</v>
      </c>
      <c r="I19" s="41" t="s">
        <v>1846</v>
      </c>
      <c r="J19" s="38" t="s">
        <v>906</v>
      </c>
      <c r="K19" s="42" t="s">
        <v>1847</v>
      </c>
      <c r="L19" s="42" t="s">
        <v>1847</v>
      </c>
      <c r="M19" s="39" t="s">
        <v>476</v>
      </c>
      <c r="N19" s="39" t="s">
        <v>909</v>
      </c>
      <c r="O19" s="39" t="s">
        <v>941</v>
      </c>
      <c r="P19" s="42" t="s">
        <v>1848</v>
      </c>
    </row>
    <row r="20" s="2" customFormat="1" ht="62" outlineLevel="1" spans="1:16">
      <c r="A20" s="43" t="s">
        <v>1849</v>
      </c>
      <c r="B20" s="16" t="s">
        <v>1850</v>
      </c>
      <c r="C20" s="17" t="s">
        <v>476</v>
      </c>
      <c r="D20" s="16" t="s">
        <v>1850</v>
      </c>
      <c r="E20" s="18">
        <v>3</v>
      </c>
      <c r="F20" s="18">
        <v>0</v>
      </c>
      <c r="G20" s="18">
        <v>8</v>
      </c>
      <c r="H20" s="19" t="s">
        <v>920</v>
      </c>
      <c r="I20" s="20" t="s">
        <v>1851</v>
      </c>
      <c r="J20" s="16" t="s">
        <v>906</v>
      </c>
      <c r="K20" s="27" t="s">
        <v>1852</v>
      </c>
      <c r="L20" s="27" t="s">
        <v>1852</v>
      </c>
      <c r="M20" s="18" t="s">
        <v>476</v>
      </c>
      <c r="N20" s="18" t="s">
        <v>909</v>
      </c>
      <c r="O20" s="18" t="s">
        <v>941</v>
      </c>
      <c r="P20" s="27"/>
    </row>
    <row r="21" ht="15.5" spans="1:16">
      <c r="A21" s="44" t="s">
        <v>237</v>
      </c>
      <c r="B21" s="45"/>
      <c r="C21" s="17"/>
      <c r="D21" s="46"/>
      <c r="E21" s="18">
        <v>3</v>
      </c>
      <c r="F21" s="47"/>
      <c r="G21" s="47"/>
      <c r="H21" s="19" t="s">
        <v>920</v>
      </c>
      <c r="I21" s="25"/>
      <c r="J21" s="25"/>
      <c r="K21" s="48"/>
      <c r="L21" s="48"/>
      <c r="M21" s="48"/>
      <c r="N21" s="48"/>
      <c r="O21" s="48"/>
      <c r="P21" s="48"/>
    </row>
  </sheetData>
  <mergeCells count="1">
    <mergeCell ref="B1:J1"/>
  </mergeCells>
  <pageMargins left="0.787401575" right="0.787401575" top="0.984251969" bottom="0.984251969" header="0.511805555555556" footer="0.511805555555556"/>
  <pageSetup paperSize="9" scale="30" firstPageNumber="0" orientation="portrait" useFirstPageNumber="1" horizontalDpi="300" verticalDpi="300"/>
  <headerFooter alignWithMargins="0"/>
</worksheet>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27</vt:i4>
      </vt:variant>
    </vt:vector>
  </HeadingPairs>
  <TitlesOfParts>
    <vt:vector size="27" baseType="lpstr">
      <vt:lpstr>RevisionRecords</vt:lpstr>
      <vt:lpstr>RevisionManagement</vt:lpstr>
      <vt:lpstr>Legend</vt:lpstr>
      <vt:lpstr>DocumentStructure</vt:lpstr>
      <vt:lpstr>00.Cover</vt:lpstr>
      <vt:lpstr>01.General</vt:lpstr>
      <vt:lpstr>02.1.ApplicationServices</vt:lpstr>
      <vt:lpstr>02.2.BootServices </vt:lpstr>
      <vt:lpstr>02.3.CommunicationControlSvcs</vt:lpstr>
      <vt:lpstr>03.1.System DID</vt:lpstr>
      <vt:lpstr>03.2.ECU DID</vt:lpstr>
      <vt:lpstr>03.3.Coding DID</vt:lpstr>
      <vt:lpstr>03.4.IOcontrol DID 0x2F</vt:lpstr>
      <vt:lpstr>System DID_bak</vt:lpstr>
      <vt:lpstr>IOControl (0x2F)</vt:lpstr>
      <vt:lpstr>03.5.Routine DID 0x31</vt:lpstr>
      <vt:lpstr>Routines (0x31)</vt:lpstr>
      <vt:lpstr>04.1.GroupOfDTC</vt:lpstr>
      <vt:lpstr>04.2.DTC list</vt:lpstr>
      <vt:lpstr>04.3.Snapshot</vt:lpstr>
      <vt:lpstr>04.4.ExtendedData</vt:lpstr>
      <vt:lpstr>Terms</vt:lpstr>
      <vt:lpstr>Flash</vt:lpstr>
      <vt:lpstr>Predefined</vt:lpstr>
      <vt:lpstr>DataBlock</vt:lpstr>
      <vt:lpstr>DTC-List</vt:lpstr>
      <vt:lpstr>ECU DID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Zhangliang(X Project)</dc:creator>
  <cp:lastModifiedBy>again</cp:lastModifiedBy>
  <dcterms:created xsi:type="dcterms:W3CDTF">2003-11-11T03:59:00Z</dcterms:created>
  <cp:lastPrinted>2024-12-27T03:47:00Z</cp:lastPrinted>
  <dcterms:modified xsi:type="dcterms:W3CDTF">2026-03-12T09:02:16Z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(3)qgv1FGeyZlOj7PSG7JzjAwayOoiTUiK0nCC9723LuuaA9tv8mhvZLwYPaeC6A9XedOUpzCwJ
hdiH79gs7HPmf0hKC5Bezai2t6Lme44Za5wOwXQAkpgkolqyIFfAwPMB8q9WScUWeq/lApR1
irj2ldIF6+hNFuLtYnE6c5s5XnfX4zov4Ul0oOT6PwfOFw5NaWQSgj7Z3wlSwP2VzdD9Bf27
Hq5SglQ/F+CqCNZiOx</vt:lpwstr>
  </property>
  <property fmtid="{D5CDD505-2E9C-101B-9397-08002B2CF9AE}" pid="7" name="_2015_ms_pID_7253431">
    <vt:lpwstr>08eEi4S7eN+chSUc4Ip8LCrj+nEYxBd/Ngq1hJX+yVDLsntFHPwOLJ
kslrXIw3ZXZAGLjXX6VZfQpgLVj5HtBxT3lCS4RJVZElFomTEBqs5R5y1ksQgug2N2pdCo5m
VZv3KK9A32P8TxQ8Z9c8orw9JokZ7zJfH/xcp6+yVSBYgWlNFR6ld8SCClVLnD8TcF6J3+rE
jkv6qsNKkT1qpOfxgv0kl1c+eOtBeFXXbEZa</vt:lpwstr>
  </property>
  <property fmtid="{D5CDD505-2E9C-101B-9397-08002B2CF9AE}" pid="8" name="_2015_ms_pID_7253432">
    <vt:lpwstr>efSV0cNYxGqtvBoHLMN/228=</vt:lpwstr>
  </property>
  <property fmtid="{D5CDD505-2E9C-101B-9397-08002B2CF9AE}" pid="9" name="KSOProductBuildVer">
    <vt:lpwstr>2052-12.1.0.25225</vt:lpwstr>
  </property>
  <property fmtid="{D5CDD505-2E9C-101B-9397-08002B2CF9AE}" pid="10" name="ICV">
    <vt:lpwstr>CB0507232D224A06A9C690DFFB8DAA6A</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1718242472</vt:lpwstr>
  </property>
  <property fmtid="{D5CDD505-2E9C-101B-9397-08002B2CF9AE}" pid="15" name="CalculationRule">
    <vt:i4>0</vt:i4>
  </property>
</Properties>
</file>